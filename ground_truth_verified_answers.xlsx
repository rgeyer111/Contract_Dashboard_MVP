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gister" sheetId="2" state="visible" r:id="rId4"/>
    <sheet name="Dokumente" sheetId="3" state="visible" r:id="rId5"/>
    <sheet name="Prüffälle" sheetId="4" state="visible" r:id="rId6"/>
    <sheet name="Skriptbefun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<sst xmlns="http://schemas.openxmlformats.org/spreadsheetml/2006/main" count="2540" uniqueCount="466">
  <si>
    <t xml:space="preserve">Verified answers — AI for Contracts test import set</t>
  </si>
  <si>
    <t xml:space="preserve">Zweck</t>
  </si>
  <si>
    <t xml:space="preserve">Eval-Set, kein Demo-Set. Die Ground Truth enthält die ERWARTETE Antwort pro Feld, einschliesslich not_found, ambiguous und conflicting. Eine Extraktion, die dort einen sicheren Wert liefert, wo diese Datei ambiguous/conflicting/not_found sagt, ist durchgefallen — auch wenn die Ausgabe vollständig aussieht.</t>
  </si>
  <si>
    <t xml:space="preserve">Stichtag (as-of)</t>
  </si>
  <si>
    <t xml:space="preserve">2026-08-28</t>
  </si>
  <si>
    <t xml:space="preserve">Umfang</t>
  </si>
  <si>
    <t xml:space="preserve">11 PDFs, 10 Vertragsfamilien (Familie 01 besteht aus Grundvertrag + Nachtrag).</t>
  </si>
  <si>
    <t xml:space="preserve">Schwierigkeit</t>
  </si>
  <si>
    <t xml:space="preserve">clean 3 · medium 3 · hard 4</t>
  </si>
  <si>
    <t xml:space="preserve">Registersprache</t>
  </si>
  <si>
    <t xml:space="preserve">de — englische Dokumente zählen daher +1 in der Komplexitätsableitung.</t>
  </si>
  <si>
    <t xml:space="preserve">Herkunft</t>
  </si>
  <si>
    <t xml:space="preserve">Alle Dokumente sind erfunden. Firmen, Lieferanten, Personen, Vertragsnummern und Beträge sind konstruiert. Die Käuferseite stammt aus den fünf simulierten Interviewpersonas von Team 05.</t>
  </si>
  <si>
    <t xml:space="preserve">Zeilenlogik</t>
  </si>
  <si>
    <t xml:space="preserve">Blatt 'Register' = eine Zeile pro Familie (das, was ins Produkt gehört). Blatt 'Dokumente' = eine Zeile pro Feld pro PDF (das, wogegen die Extraktion geprüft wird). Ein Register mit elf Zeilen statt zehn hat den Nachtrag als eigenen Vertrag behandelt.</t>
  </si>
  <si>
    <t xml:space="preserve">Renewal-kritisch</t>
  </si>
  <si>
    <t xml:space="preserve">renewal_mechanism, initial_term_end_date, notice_period, contract_value</t>
  </si>
  <si>
    <t xml:space="preserve">Blätter</t>
  </si>
  <si>
    <t xml:space="preserve">README · Register · Dokumente · Prüffälle · Skriptbefunde</t>
  </si>
  <si>
    <t xml:space="preserve">Zählprobe (Formeln)</t>
  </si>
  <si>
    <t xml:space="preserve">Familien 'clean'</t>
  </si>
  <si>
    <t xml:space="preserve">Familien 'medium'</t>
  </si>
  <si>
    <t xml:space="preserve">Familien 'hard'</t>
  </si>
  <si>
    <t xml:space="preserve">Familien gesamt</t>
  </si>
  <si>
    <t xml:space="preserve">Hinweis</t>
  </si>
  <si>
    <t xml:space="preserve">Alle Werte in diesem Workbook sind verifizierte Fakten aus den PDFs, keine Berechnungen — sie sind bewusst hart eingetragen. Einzige Ausnahme sind die Zählproben oben.</t>
  </si>
  <si>
    <t xml:space="preserve">Familie</t>
  </si>
  <si>
    <t xml:space="preserve">Käufer (Persona)</t>
  </si>
  <si>
    <t xml:space="preserve">Käufer-Entität</t>
  </si>
  <si>
    <t xml:space="preserve">Land</t>
  </si>
  <si>
    <t xml:space="preserve">Lieferant (Legal Name)</t>
  </si>
  <si>
    <t xml:space="preserve">Vertragsnummer</t>
  </si>
  <si>
    <t xml:space="preserve">Titel</t>
  </si>
  <si>
    <t xml:space="preserve">Laufzeit</t>
  </si>
  <si>
    <t xml:space="preserve">Aktuelle Periode</t>
  </si>
  <si>
    <t xml:space="preserve">Verlängerung</t>
  </si>
  <si>
    <t xml:space="preserve">Verl.-Dauer</t>
  </si>
  <si>
    <t xml:space="preserve">Kündigungsfrist</t>
  </si>
  <si>
    <t xml:space="preserve">Anker</t>
  </si>
  <si>
    <t xml:space="preserve">Zustellung</t>
  </si>
  <si>
    <t xml:space="preserve">Wert</t>
  </si>
  <si>
    <t xml:space="preserve">Whg</t>
  </si>
  <si>
    <t xml:space="preserve">Basis</t>
  </si>
  <si>
    <t xml:space="preserve">Abrechnung</t>
  </si>
  <si>
    <t xml:space="preserve">Deadline (erwartet)</t>
  </si>
  <si>
    <t xml:space="preserve">Nächster Ausstieg</t>
  </si>
  <si>
    <t xml:space="preserve">Tage</t>
  </si>
  <si>
    <t xml:space="preserve">Zustand</t>
  </si>
  <si>
    <t xml:space="preserve">Dok.</t>
  </si>
  <si>
    <t xml:space="preserve">Familienstatus</t>
  </si>
  <si>
    <t xml:space="preserve">Zuletzt geändert</t>
  </si>
  <si>
    <t xml:space="preserve">Komplexität (abgeleitet)</t>
  </si>
  <si>
    <t xml:space="preserve">Score</t>
  </si>
  <si>
    <t xml:space="preserve">Überschriebene Werte</t>
  </si>
  <si>
    <t xml:space="preserve">FAM-01</t>
  </si>
  <si>
    <t xml:space="preserve">Markus Keller</t>
  </si>
  <si>
    <t xml:space="preserve">KellerForm GmbH</t>
  </si>
  <si>
    <t xml:space="preserve">CH</t>
  </si>
  <si>
    <t xml:space="preserve">Bogner Maschinenservice AG</t>
  </si>
  <si>
    <t xml:space="preserve">WV-2023-0417</t>
  </si>
  <si>
    <t xml:space="preserve">Wartungs- und Servicevertrag</t>
  </si>
  <si>
    <t xml:space="preserve">36 Monate fest ab 01.05.2023, danach 12-Monats-Verlängerungen</t>
  </si>
  <si>
    <t xml:space="preserve">2026-05-01 – 2027-04-30</t>
  </si>
  <si>
    <t xml:space="preserve">auto_renew</t>
  </si>
  <si>
    <t xml:space="preserve">12 months</t>
  </si>
  <si>
    <t xml:space="preserve">medium</t>
  </si>
  <si>
    <t xml:space="preserve">6 months</t>
  </si>
  <si>
    <t xml:space="preserve">term_end</t>
  </si>
  <si>
    <t xml:space="preserve">registered_post</t>
  </si>
  <si>
    <t xml:space="preserve">CHF</t>
  </si>
  <si>
    <t xml:space="preserve">annual</t>
  </si>
  <si>
    <t xml:space="preserve">2026-10-30</t>
  </si>
  <si>
    <t xml:space="preserve">2027-04-30</t>
  </si>
  <si>
    <t xml:space="preserve">open</t>
  </si>
  <si>
    <t xml:space="preserve">complete</t>
  </si>
  <si>
    <t xml:space="preserve">2026-01-01</t>
  </si>
  <si>
    <t xml:space="preserve">CHF 18'400 (annual, D01)</t>
  </si>
  <si>
    <t xml:space="preserve">FAM-02</t>
  </si>
  <si>
    <t xml:space="preserve">Renderling Cloud Limited</t>
  </si>
  <si>
    <t xml:space="preserve">RC-ORD-2024-8812</t>
  </si>
  <si>
    <t xml:space="preserve">Subscription Agreement</t>
  </si>
  <si>
    <t xml:space="preserve">12 Monate ab 01.09.2024, Auto-Verlängerung 12 Monate</t>
  </si>
  <si>
    <t xml:space="preserve">2025-09-01 – 2026-08-31</t>
  </si>
  <si>
    <t xml:space="preserve">clean</t>
  </si>
  <si>
    <t xml:space="preserve">90 days</t>
  </si>
  <si>
    <t xml:space="preserve">email</t>
  </si>
  <si>
    <t xml:space="preserve">2026-06-02</t>
  </si>
  <si>
    <t xml:space="preserve">2026-08-31</t>
  </si>
  <si>
    <t xml:space="preserve">missed</t>
  </si>
  <si>
    <t xml:space="preserve">—</t>
  </si>
  <si>
    <t xml:space="preserve">low</t>
  </si>
  <si>
    <t xml:space="preserve">FAM-03</t>
  </si>
  <si>
    <t xml:space="preserve">Elena Vogt</t>
  </si>
  <si>
    <t xml:space="preserve">NordWelle Services GmbH</t>
  </si>
  <si>
    <t xml:space="preserve">DE</t>
  </si>
  <si>
    <t xml:space="preserve">Rheinland Fuhrpark GmbH</t>
  </si>
  <si>
    <t xml:space="preserve">RFP-2022-114</t>
  </si>
  <si>
    <t xml:space="preserve">Rahmenmietvertrag Nutzfahrzeuge</t>
  </si>
  <si>
    <t xml:space="preserve">unbefristet ab 01.04.2022</t>
  </si>
  <si>
    <t xml:space="preserve">laufend, unbefristet</t>
  </si>
  <si>
    <t xml:space="preserve">indefinite</t>
  </si>
  <si>
    <t xml:space="preserve">3 months</t>
  </si>
  <si>
    <t xml:space="preserve">period_end_quarter</t>
  </si>
  <si>
    <t xml:space="preserve">EUR</t>
  </si>
  <si>
    <t xml:space="preserve">monthly</t>
  </si>
  <si>
    <t xml:space="preserve">2026-09-30</t>
  </si>
  <si>
    <t xml:space="preserve">2026-12-31</t>
  </si>
  <si>
    <t xml:space="preserve">FAM-04</t>
  </si>
  <si>
    <t xml:space="preserve">Servio Field Solutions B.V.</t>
  </si>
  <si>
    <t xml:space="preserve">SFS-MSA-2025-041</t>
  </si>
  <si>
    <t xml:space="preserve">Master Subscription Agreement</t>
  </si>
  <si>
    <t xml:space="preserve">24 Monate ab 01.11.2025, Auto-Verlängerung 12 Monate</t>
  </si>
  <si>
    <t xml:space="preserve">2025-11-01 – 2027-10-31</t>
  </si>
  <si>
    <t xml:space="preserve">hard</t>
  </si>
  <si>
    <t xml:space="preserve">3 months (Ziffer 11.2) ODER 6 months (Annex C.4) — CONFLICTING</t>
  </si>
  <si>
    <t xml:space="preserve">any_written</t>
  </si>
  <si>
    <t xml:space="preserve">quarterly</t>
  </si>
  <si>
    <t xml:space="preserve">— nicht berechenbar</t>
  </si>
  <si>
    <t xml:space="preserve">not_computable</t>
  </si>
  <si>
    <t xml:space="preserve">FAM-05</t>
  </si>
  <si>
    <t xml:space="preserve">Daniel Weber</t>
  </si>
  <si>
    <t xml:space="preserve">AlpenBridge Consulting GmbH</t>
  </si>
  <si>
    <t xml:space="preserve">AT</t>
  </si>
  <si>
    <t xml:space="preserve">Nortveil Security AS</t>
  </si>
  <si>
    <t xml:space="preserve">NS-2025-AT-0392</t>
  </si>
  <si>
    <t xml:space="preserve">Endpoint Security Licence Agreement</t>
  </si>
  <si>
    <t xml:space="preserve">12 Monate ab 01.07.2025, Auto-Verlängerung 12 Monate</t>
  </si>
  <si>
    <t xml:space="preserve">2026-07-01 – 2027-06-30</t>
  </si>
  <si>
    <t xml:space="preserve">60 days (Nichtverlängerung) + 90 days (Convenience, mit Ausstiegsgebühr)</t>
  </si>
  <si>
    <t xml:space="preserve">term_end (+ any_time für Convenience)</t>
  </si>
  <si>
    <t xml:space="preserve">2027-05-01</t>
  </si>
  <si>
    <t xml:space="preserve">2027-06-30</t>
  </si>
  <si>
    <t xml:space="preserve">FAM-06</t>
  </si>
  <si>
    <t xml:space="preserve">Steinacher Gebäudetechnik GmbH</t>
  </si>
  <si>
    <t xml:space="preserve">SGT/WV/2021-0088</t>
  </si>
  <si>
    <t xml:space="preserve">Wartungsvertrag USV und Präzisionsklimatechnik</t>
  </si>
  <si>
    <t xml:space="preserve">12 Monate ab 01.10.2021, stillschweigende Verlängerung um je 1 Jahr</t>
  </si>
  <si>
    <t xml:space="preserve">2025-10-01 – 2026-09-30</t>
  </si>
  <si>
    <t xml:space="preserve">2026-06-30</t>
  </si>
  <si>
    <t xml:space="preserve">FAM-07</t>
  </si>
  <si>
    <t xml:space="preserve">Sofia Richter</t>
  </si>
  <si>
    <t xml:space="preserve">RheinHaus Living GmbH</t>
  </si>
  <si>
    <t xml:space="preserve">Bergmann Reinigungstechnik GmbH</t>
  </si>
  <si>
    <t xml:space="preserve">BRT-M-2024-2277</t>
  </si>
  <si>
    <t xml:space="preserve">Mietvertrag Reinigungsmaschinen</t>
  </si>
  <si>
    <t xml:space="preserve">24 Monate fest ab 01.06.2024, danach 12-Monats-Verlängerungen</t>
  </si>
  <si>
    <t xml:space="preserve">2026-06-01 – 2027-05-31</t>
  </si>
  <si>
    <t xml:space="preserve">2027-02-28</t>
  </si>
  <si>
    <t xml:space="preserve">2027-05-31</t>
  </si>
  <si>
    <t xml:space="preserve">FAM-08</t>
  </si>
  <si>
    <t xml:space="preserve">Rheinische Entsorgungsdienste AG</t>
  </si>
  <si>
    <t xml:space="preserve">RED-2023-8801</t>
  </si>
  <si>
    <t xml:space="preserve">Entsorgungsvertrag</t>
  </si>
  <si>
    <t xml:space="preserve">12 Monate ab 01.01.2023, Auto-Verlängerung um je 1 Jahr</t>
  </si>
  <si>
    <t xml:space="preserve">2026-01-01 – 2026-12-31</t>
  </si>
  <si>
    <t xml:space="preserve">30 Werktage — AMBIGUOUS, keine Schema-Einheit</t>
  </si>
  <si>
    <t xml:space="preserve">registered_post (Zugang +3 Werktage)</t>
  </si>
  <si>
    <t xml:space="preserve">variable</t>
  </si>
  <si>
    <t xml:space="preserve">FAM-09</t>
  </si>
  <si>
    <t xml:space="preserve">Hannah Meier</t>
  </si>
  <si>
    <t xml:space="preserve">LumenWerk AG</t>
  </si>
  <si>
    <t xml:space="preserve">Helvetic Fulfilment Partners AG</t>
  </si>
  <si>
    <t xml:space="preserve">HFP-2025-LW-014</t>
  </si>
  <si>
    <t xml:space="preserve">Fulfilment Services Agreement</t>
  </si>
  <si>
    <t xml:space="preserve">12 Monate ab 01.03.2025, Auto-Verlängerung 12 Monate</t>
  </si>
  <si>
    <t xml:space="preserve">2026-03-01 – 2027-02-28</t>
  </si>
  <si>
    <t xml:space="preserve">KEINE Kündigungsklausel im Vertrag</t>
  </si>
  <si>
    <t xml:space="preserve">blocked</t>
  </si>
  <si>
    <t xml:space="preserve">FAM-10</t>
  </si>
  <si>
    <t xml:space="preserve">Grünraum Zürich GmbH</t>
  </si>
  <si>
    <t xml:space="preserve">GRZ-2026-0142</t>
  </si>
  <si>
    <t xml:space="preserve">Dienstleistungsvertrag Wasserspender und Pflanzenpflege</t>
  </si>
  <si>
    <t xml:space="preserve">01.02.2026 – 31.01.2027, keine Verlängerung</t>
  </si>
  <si>
    <t xml:space="preserve">2026-02-01 – 2027-01-31</t>
  </si>
  <si>
    <t xml:space="preserve">expires</t>
  </si>
  <si>
    <t xml:space="preserve">keine erforderlich</t>
  </si>
  <si>
    <t xml:space="preserve">Dok-ID</t>
  </si>
  <si>
    <t xml:space="preserve">Datei</t>
  </si>
  <si>
    <t xml:space="preserve">Stufe</t>
  </si>
  <si>
    <t xml:space="preserve">Textlayer</t>
  </si>
  <si>
    <t xml:space="preserve">Feld</t>
  </si>
  <si>
    <t xml:space="preserve">Erwarteter Wert</t>
  </si>
  <si>
    <t xml:space="preserve">status</t>
  </si>
  <si>
    <t xml:space="preserve">confidence</t>
  </si>
  <si>
    <t xml:space="preserve">Seite</t>
  </si>
  <si>
    <t xml:space="preserve">Klausel</t>
  </si>
  <si>
    <t xml:space="preserve">Belegzitat (verbatim)</t>
  </si>
  <si>
    <t xml:space="preserve">Prüfhinweis</t>
  </si>
  <si>
    <t xml:space="preserve">D01</t>
  </si>
  <si>
    <t xml:space="preserve">01_KellerForm_Bogner_Wartungsvertrag_DE.pdf</t>
  </si>
  <si>
    <t xml:space="preserve">ja</t>
  </si>
  <si>
    <t xml:space="preserve">document_type</t>
  </si>
  <si>
    <t xml:space="preserve">master_agreement</t>
  </si>
  <si>
    <t xml:space="preserve">found</t>
  </si>
  <si>
    <t xml:space="preserve">high</t>
  </si>
  <si>
    <t xml:space="preserve">document_language</t>
  </si>
  <si>
    <t xml:space="preserve">de</t>
  </si>
  <si>
    <t xml:space="preserve">vendor_legal_name</t>
  </si>
  <si>
    <t xml:space="preserve">Kopf</t>
  </si>
  <si>
    <t xml:space="preserve">buyer_legal_entity</t>
  </si>
  <si>
    <t xml:space="preserve">contract_title</t>
  </si>
  <si>
    <t xml:space="preserve">contract_number</t>
  </si>
  <si>
    <t xml:space="preserve">contract_type</t>
  </si>
  <si>
    <t xml:space="preserve">maintenance</t>
  </si>
  <si>
    <t xml:space="preserve">1</t>
  </si>
  <si>
    <t xml:space="preserve">signature_date</t>
  </si>
  <si>
    <t xml:space="preserve">2023-04-17</t>
  </si>
  <si>
    <t xml:space="preserve">Unterschriften</t>
  </si>
  <si>
    <t xml:space="preserve">Letzte Unterschrift; Auftragnehmerin unterzeichnete am 12. April 2023.</t>
  </si>
  <si>
    <t xml:space="preserve">effective_date</t>
  </si>
  <si>
    <t xml:space="preserve">2023-05-01</t>
  </si>
  <si>
    <t xml:space="preserve">2</t>
  </si>
  <si>
    <t xml:space="preserve">Dieser Vertrag tritt am 1. Mai 2023 in Kraft. Die feste Vertragslaufzeit beträgt 36 Monate und endet am 30. April 2026.</t>
  </si>
  <si>
    <t xml:space="preserve">initial_term_length</t>
  </si>
  <si>
    <t xml:space="preserve">{"amount": 36, "unit": "months"}</t>
  </si>
  <si>
    <t xml:space="preserve">initial_term_end_date</t>
  </si>
  <si>
    <t xml:space="preserve">2026-04-30</t>
  </si>
  <si>
    <t xml:space="preserve">renewal_mechanism</t>
  </si>
  <si>
    <t xml:space="preserve">Nach Ablauf der festen Vertragslaufzeit verlängert sich der Vertrag automatisch um jeweils weitere zwölf (12) Monate, sofern er nicht fristgerecht gekündigt wird.</t>
  </si>
  <si>
    <t xml:space="preserve">renewal_term_length</t>
  </si>
  <si>
    <t xml:space="preserve">{"amount": 12, "unit": "months"}</t>
  </si>
  <si>
    <t xml:space="preserve">notice_period</t>
  </si>
  <si>
    <t xml:space="preserve">[{"amount": 6, "unit": "months", "anchor": "term_end", "purpose": "non_renewal"}]</t>
  </si>
  <si>
    <t xml:space="preserve">3</t>
  </si>
  <si>
    <t xml:space="preserve">Die Kündigung muss spätestens sechs (6) Monate vor Ablauf der jeweiligen Vertragslaufzeit schriftlich erfolgen.</t>
  </si>
  <si>
    <t xml:space="preserve">notice_delivery</t>
  </si>
  <si>
    <t xml:space="preserve">{"method": "registered_post", "address": "Bogner Maschinenservice AG, Rorschacher Strasse 210, 9016 St. Gallen", "cc": null}</t>
  </si>
  <si>
    <t xml:space="preserve">5</t>
  </si>
  <si>
    <t xml:space="preserve">Mitteilungen im Rahmen dieses Vertrages sind schriftlich per eingeschriebenem Brief an die im Vertragskopf genannte Adresse zu richten.</t>
  </si>
  <si>
    <t xml:space="preserve">contract_value</t>
  </si>
  <si>
    <t xml:space="preserve">{"amount": 18400, "currency": "CHF", "basis": "annual"}</t>
  </si>
  <si>
    <t xml:space="preserve">4</t>
  </si>
  <si>
    <t xml:space="preserve">Die jährliche Wartungspauschale beträgt CHF 18'400.00 zuzüglich Mehrwertsteuer.</t>
  </si>
  <si>
    <t xml:space="preserve">billing_frequency</t>
  </si>
  <si>
    <t xml:space="preserve">Die Rechnungsstellung erfolgt jährlich im Voraus jeweils per 1. Mai.</t>
  </si>
  <si>
    <t xml:space="preserve">notice_deadline</t>
  </si>
  <si>
    <t xml:space="preserve">— berechnet, nie extrahiert —</t>
  </si>
  <si>
    <t xml:space="preserve">n/a</t>
  </si>
  <si>
    <t xml:space="preserve">Wird von compute_deadline.py aus den Feldern oben erzeugt. Eine aus dem Text gelesene Deadline ist ein Fehler, auch wenn sie stimmt.</t>
  </si>
  <si>
    <t xml:space="preserve">D02</t>
  </si>
  <si>
    <t xml:space="preserve">02_KellerForm_Bogner_Nachtrag_Nr1_DE.pdf</t>
  </si>
  <si>
    <t xml:space="preserve">amendment</t>
  </si>
  <si>
    <t xml:space="preserve">Nachtrag Nr. 1</t>
  </si>
  <si>
    <t xml:space="preserve">WV-2023-0417-N1</t>
  </si>
  <si>
    <t xml:space="preserve">Aus dem Bezugsvertrag abgeleitet, nicht im Nachtrag genannt.</t>
  </si>
  <si>
    <t xml:space="preserve">2025-12-02</t>
  </si>
  <si>
    <t xml:space="preserve">Ziffer 4 Absatz 1 des Wartungs- und Servicevertrages Nr. WV-2023-0417 vom 1. Mai 2023 wird mit Wirkung ab 1. Januar 2026 aufgehoben und wie folgt neu gefasst:</t>
  </si>
  <si>
    <t xml:space="preserve">not_found</t>
  </si>
  <si>
    <t xml:space="preserve">Nachtrag ändert die Laufzeit nicht.</t>
  </si>
  <si>
    <t xml:space="preserve">Nachtrag ändert den Verlängerungsmechanismus nicht.</t>
  </si>
  <si>
    <t xml:space="preserve">Nachtrag ändert die Kündigungsfrist nicht. Darf im Effektiv-Protokoll NICHT geleert werden.</t>
  </si>
  <si>
    <t xml:space="preserve">{"amount": 21700, "currency": "CHF", "basis": "annual"}</t>
  </si>
  <si>
    <t xml:space="preserve">Die jährliche Wartungspauschale beträgt CHF 21'700.00 zuzüglich Mehrwertsteuer.</t>
  </si>
  <si>
    <t xml:space="preserve">Nicht im Nachtrag genannt.</t>
  </si>
  <si>
    <t xml:space="preserve">D03</t>
  </si>
  <si>
    <t xml:space="preserve">03_KellerForm_Renderling_SubscriptionAgreement_EN.pdf</t>
  </si>
  <si>
    <t xml:space="preserve">en</t>
  </si>
  <si>
    <t xml:space="preserve">Header</t>
  </si>
  <si>
    <t xml:space="preserve">Legal entity, not the brand "Renderling".</t>
  </si>
  <si>
    <t xml:space="preserve">saas_subscription</t>
  </si>
  <si>
    <t xml:space="preserve">2024-08-23</t>
  </si>
  <si>
    <t xml:space="preserve">Signatures</t>
  </si>
  <si>
    <t xml:space="preserve">2024-09-01</t>
  </si>
  <si>
    <t xml:space="preserve">This Agreement commences on 1 September 2024 (the "Effective Date") and continues for an initial term of twelve (12) months, ending on 31 August 2025.</t>
  </si>
  <si>
    <t xml:space="preserve">2025-08-31</t>
  </si>
  <si>
    <t xml:space="preserve">Upon expiry of the Initial Term this Agreement shall renew automatically for successive periods of twelve (12) months unless terminated in accordance with Clause 3.</t>
  </si>
  <si>
    <t xml:space="preserve">[{"amount": 90, "unit": "days", "anchor": "term_end", "purpose": "non_renewal"}]</t>
  </si>
  <si>
    <t xml:space="preserve">Either party may prevent renewal by giving written notice of non-renewal not less than ninety (90) days prior to the end of the then-current term.</t>
  </si>
  <si>
    <t xml:space="preserve">{"method": "email", "address": "renewals@renderling.io", "cc": null}</t>
  </si>
  <si>
    <t xml:space="preserve">Notices under Clause 3 shall be sent by email to renewals@renderling.io and shall be deemed given on the day of transmission.</t>
  </si>
  <si>
    <t xml:space="preserve">{"amount": 18000, "currency": "CHF", "basis": "annual"}</t>
  </si>
  <si>
    <t xml:space="preserve">The annual subscription fee is CHF 18,000.00, exclusive of VAT, invoiced annually in advance.</t>
  </si>
  <si>
    <t xml:space="preserve">D04</t>
  </si>
  <si>
    <t xml:space="preserve">04_NordWelle_RheinlandFuhrpark_Rahmenmietvertrag_DE.pdf</t>
  </si>
  <si>
    <t xml:space="preserve">infrastructure</t>
  </si>
  <si>
    <t xml:space="preserve">Fuhrparkmiete. Aus dem Gegenstand abgeleitet, nicht benannt; 'other' wäre ebenfalls vertretbar.</t>
  </si>
  <si>
    <t xml:space="preserve">2022-03-18</t>
  </si>
  <si>
    <t xml:space="preserve">2022-04-01</t>
  </si>
  <si>
    <t xml:space="preserve">Der Rahmenmietvertrag beginnt am 1. April 2022 und wird auf unbestimmte Zeit geschlossen.</t>
  </si>
  <si>
    <t xml:space="preserve">Unbefristet, keine Mindestlaufzeit vereinbart.</t>
  </si>
  <si>
    <t xml:space="preserve">Unbefristet, kein Enddatum.</t>
  </si>
  <si>
    <t xml:space="preserve">Unbefristet mit Kündigungsrecht. NICHT auto_renew.</t>
  </si>
  <si>
    <t xml:space="preserve">Kein Verlängerungszeitraum, da unbefristet.</t>
  </si>
  <si>
    <t xml:space="preserve">[{"amount": 3, "unit": "months", "anchor": "period_end_quarter", "purpose": "non_renewal"}]</t>
  </si>
  <si>
    <t xml:space="preserve">Der Vertrag kann von jeder Partei mit einer Frist von drei (3) Monaten zum Quartalsende schriftlich gekündigt werden.</t>
  </si>
  <si>
    <t xml:space="preserve">{"method": "registered_post", "address": "Rheinland Fuhrpark GmbH, Geschäftsleitung, Kaiserswerther Strasse 88, 40477 Düsseldorf", "cc": null}</t>
  </si>
  <si>
    <t xml:space="preserve">Kündigungen bedürfen der Schriftform und sind per Einschreiben an die Geschäftsleitung des Vermieters zu richten.</t>
  </si>
  <si>
    <t xml:space="preserve">{"amount": 12900, "currency": "EUR", "basis": "monthly"}</t>
  </si>
  <si>
    <t xml:space="preserve">Der monatliche Gesamtmietzins beträgt EUR 12.900,00 zuzüglich Umsatzsteuer.</t>
  </si>
  <si>
    <t xml:space="preserve">Die Rechnungsstellung erfolgt monatlich jeweils zum Monatsende.</t>
  </si>
  <si>
    <t xml:space="preserve">D05</t>
  </si>
  <si>
    <t xml:space="preserve">05_NordWelle_Servio_MasterSubscriptionAgreement_EN.pdf</t>
  </si>
  <si>
    <t xml:space="preserve">2025-10-27</t>
  </si>
  <si>
    <t xml:space="preserve">2025-11-01</t>
  </si>
  <si>
    <t xml:space="preserve">10</t>
  </si>
  <si>
    <t xml:space="preserve">This Agreement takes effect on 1 November 2025 and shall remain in force for an initial term of twenty-four (24) months, expiring on 31 October 2027.</t>
  </si>
  <si>
    <t xml:space="preserve">{"amount": 24, "unit": "months"}</t>
  </si>
  <si>
    <t xml:space="preserve">2027-10-31</t>
  </si>
  <si>
    <t xml:space="preserve">Thereafter the Agreement shall renew automatically for successive terms of twelve (12) months.</t>
  </si>
  <si>
    <t xml:space="preserve">[{"amount": 3, "unit": "months", "anchor": "term_end", "purpose": "non_renewal", "source": "clause 11.2"}, {"amount": 6, "unit": "months", "anchor": "term_end", "purpose": "non_renewal", "source": "Annex C.4"}]</t>
  </si>
  <si>
    <t xml:space="preserve">conflicting</t>
  </si>
  <si>
    <t xml:space="preserve">11.2 / Annex C.4</t>
  </si>
  <si>
    <t xml:space="preserve">Either party may give written notice of non-renewal not less than three (3) months prior to the end of the then-current term.</t>
  </si>
  <si>
    <t xml:space="preserve">Clause 11.2 states three months; Annex C.4 states six months. Clause 2 makes the Annexes an integral part of the Agreement but states no order of precedence, so the conflict is not resolvable from the document. Deadlines differ by three months (2027-07-31 vs 2027-04-30). Route to a human; do not pick a reading.</t>
  </si>
  <si>
    <t xml:space="preserve">{"method": "any_written", "address": "contracts@servio-field.nl", "cc": "registered office of the recipient"}</t>
  </si>
  <si>
    <t xml:space="preserve">13</t>
  </si>
  <si>
    <t xml:space="preserve">Notices shall be sent by email to contracts@servio-field.nl and by post to the registered office of the recipient.</t>
  </si>
  <si>
    <t xml:space="preserve">{"amount": 96000, "currency": "EUR", "basis": "annual"}</t>
  </si>
  <si>
    <t xml:space="preserve">12</t>
  </si>
  <si>
    <t xml:space="preserve">The annual subscription fee is EUR 96,000.00, invoiced quarterly in advance.</t>
  </si>
  <si>
    <t xml:space="preserve">D06</t>
  </si>
  <si>
    <t xml:space="preserve">06_AlpenBridge_Nortveil_EndpointSecurityLicence_EN.pdf</t>
  </si>
  <si>
    <t xml:space="preserve">software_license</t>
  </si>
  <si>
    <t xml:space="preserve">2025-06-16</t>
  </si>
  <si>
    <t xml:space="preserve">2025-07-01</t>
  </si>
  <si>
    <t xml:space="preserve">The Subscription Term commences on 1 July 2025 and continues for twelve (12) months.</t>
  </si>
  <si>
    <t xml:space="preserve">Nur die Laufzeitlänge ist genannt, kein Enddatum. Vom Skript berechnen lassen.</t>
  </si>
  <si>
    <t xml:space="preserve">The Subscription Term shall renew automatically for further periods of twelve (12) months.</t>
  </si>
  <si>
    <t xml:space="preserve">[{"amount": 60, "unit": "days", "anchor": "term_end", "purpose": "non_renewal"}, {"amount": 90, "unit": "days", "anchor": "any_time", "purpose": "convenience"}]</t>
  </si>
  <si>
    <t xml:space="preserve">3 / 4</t>
  </si>
  <si>
    <t xml:space="preserve">Either party may elect not to renew by serving written notice at least sixty (60) days before the expiry of the then-current Subscription Term.</t>
  </si>
  <si>
    <t xml:space="preserve">Two distinct rights. Reminders must be driven by the non_renewal entry; the 90-day convenience notice is an option with an exit fee, not a countdown.</t>
  </si>
  <si>
    <t xml:space="preserve">{"method": "registered_post", "address": "Nortveil Security AS, Legal Department, Dronning Eufemias gate 14, 0191 Oslo, Norway", "cc": "legal@nortveil.no"}</t>
  </si>
  <si>
    <t xml:space="preserve">6</t>
  </si>
  <si>
    <t xml:space="preserve">All notices under Clauses 3 and 4 must be sent by registered post to Nortveil Security AS, Legal Department, Dronning Eufemias gate 14, 0191 Oslo, Norway, with a copy by email to legal@nortveil.no.</t>
  </si>
  <si>
    <t xml:space="preserve">{"amount": 41760, "currency": "EUR", "basis": "annual"}</t>
  </si>
  <si>
    <t xml:space="preserve">The annual Subscription Fee is EUR 41,760.00, being 240 endpoints at EUR 14.50 per endpoint per month, invoiced annually in advance.</t>
  </si>
  <si>
    <t xml:space="preserve">D07</t>
  </si>
  <si>
    <t xml:space="preserve">07_AlpenBridge_Steinacher_Wartungsvertrag_SCAN_DE.pdf</t>
  </si>
  <si>
    <t xml:space="preserve">NEIN — Scan</t>
  </si>
  <si>
    <t xml:space="preserve">Aus dem gescannten Bild gelesen.</t>
  </si>
  <si>
    <t xml:space="preserve">Wartungsvertrag</t>
  </si>
  <si>
    <t xml:space="preserve">OCR-Risiko: Schrägstriche und Nullen/Buchstabe O.</t>
  </si>
  <si>
    <t xml:space="preserve">2021-09-14</t>
  </si>
  <si>
    <t xml:space="preserve">2021-10-01</t>
  </si>
  <si>
    <t xml:space="preserve">Der Vertrag beginnt am 1. Oktober 2021 und läuft zunächst zwölf (12) Monate.</t>
  </si>
  <si>
    <t xml:space="preserve">Kein Enddatum genannt.</t>
  </si>
  <si>
    <t xml:space="preserve">Er verlängert sich jeweils stillschweigend um ein weiteres Jahr, sofern nicht gekündigt wird.</t>
  </si>
  <si>
    <t xml:space="preserve">[{"amount": 3, "unit": "months", "anchor": "term_end", "purpose": "non_renewal"}]</t>
  </si>
  <si>
    <t xml:space="preserve">Die Kündigung ist spätestens drei (3) Monate vor Ablauf der jeweiligen Vertragslaufzeit schriftlich zu erklären.</t>
  </si>
  <si>
    <t xml:space="preserve">{"method": "any_written", "address": "Steinacher Gebäudetechnik GmbH, Guglgasse 12, 1110 Wien", "cc": null}</t>
  </si>
  <si>
    <t xml:space="preserve">Erklärungen sind an die im Vertragskopf genannte Anschrift des Auftragnehmers zu richten.</t>
  </si>
  <si>
    <t xml:space="preserve">{"amount": 8940, "currency": "EUR", "basis": "annual"}</t>
  </si>
  <si>
    <t xml:space="preserve">Das jährliche Wartungsentgelt beträgt EUR 8.940,00 zuzüglich Umsatzsteuer.</t>
  </si>
  <si>
    <t xml:space="preserve">OCR-Risiko: EUR 8.940,00 kann als 8940 oder 8.94 gelesen werden. Deutsches Tausenderformat mit Punkt.</t>
  </si>
  <si>
    <t xml:space="preserve">D08</t>
  </si>
  <si>
    <t xml:space="preserve">08_RheinHaus_Bergmann_Mietvertrag_Reinigungsmaschinen_DE.pdf</t>
  </si>
  <si>
    <t xml:space="preserve">Gerätemiete mit Wartung. Abgeleitet, nicht benannt.</t>
  </si>
  <si>
    <t xml:space="preserve">2024-05-13</t>
  </si>
  <si>
    <t xml:space="preserve">2024-06-01</t>
  </si>
  <si>
    <t xml:space="preserve">Der Mietvertrag beginnt am 1. Juni 2024 und hat eine feste Laufzeit von vierundzwanzig (24) Monaten bis zum 31. Mai 2026.</t>
  </si>
  <si>
    <t xml:space="preserve">2026-05-31</t>
  </si>
  <si>
    <t xml:space="preserve">Er verlängert sich jeweils um zwölf (12) Monate, wenn er nicht gekündigt wird.</t>
  </si>
  <si>
    <t xml:space="preserve">Die Kündigung hat mit einer Frist von drei (3) Monaten zum Ende der jeweiligen Vertragslaufzeit in Textform zu erfolgen.</t>
  </si>
  <si>
    <t xml:space="preserve">{"method": "any_written", "address": "vertrag@bergmann-reinigungstechnik.de", "cc": null}</t>
  </si>
  <si>
    <t xml:space="preserve">Erklärungen können per Brief oder E-Mail an vertrag@bergmann-reinigungstechnik.de übermittelt werden.</t>
  </si>
  <si>
    <t xml:space="preserve">{"amount": 1180, "currency": "EUR", "basis": "monthly"}</t>
  </si>
  <si>
    <t xml:space="preserve">Die monatliche Miete beträgt EUR 1.180,00 zuzüglich Umsatzsteuer.</t>
  </si>
  <si>
    <t xml:space="preserve">Die Abrechnung erfolgt monatlich im Voraus.</t>
  </si>
  <si>
    <t xml:space="preserve">D09</t>
  </si>
  <si>
    <t xml:space="preserve">09_RheinHaus_RED_Entsorgungsvertrag_DE.pdf</t>
  </si>
  <si>
    <t xml:space="preserve">other</t>
  </si>
  <si>
    <t xml:space="preserve">Entsorgungsdienstleistung.</t>
  </si>
  <si>
    <t xml:space="preserve">2022-12-12</t>
  </si>
  <si>
    <t xml:space="preserve">2023-01-01</t>
  </si>
  <si>
    <t xml:space="preserve">Der Vertrag beginnt am 1. Januar 2023 und läuft bis zum 31. Dezember 2023.</t>
  </si>
  <si>
    <t xml:space="preserve">2023-12-31</t>
  </si>
  <si>
    <t xml:space="preserve">Er verlängert sich automatisch um jeweils ein (1) Jahr, sofern er nicht gekündigt wird.</t>
  </si>
  <si>
    <t xml:space="preserve">[{"amount": 30, "unit": "business_days", "anchor": "term_end", "purpose": "non_renewal"}]</t>
  </si>
  <si>
    <t xml:space="preserve">ambiguous</t>
  </si>
  <si>
    <t xml:space="preserve">Die Kündigung hat spätestens 30 Werktage vor Ablauf der jeweiligen Vertragslaufzeit schriftlich per Einschreiben zu erfolgen.</t>
  </si>
  <si>
    <t xml:space="preserve">'30 Werktage' sind keine 30 Kalendertage. Das Schema kennt die Einheit business_days nicht; laut notice-periods.md ist die Einheit wie genannt zu erfassen und der Wert als ambiguous zu markieren, nicht umzurechnen. Zusätzlich verschiebt die Zugangsfiktion in Ziffer 3 Satz 2 die tatsächliche Aufgabefrist um drei weitere Werktage nach vorn.</t>
  </si>
  <si>
    <t xml:space="preserve">{"method": "registered_post", "address": "Rheinische Entsorgungsdienste AG, Bonner Strasse 484, 50968 Köln", "cc": null}</t>
  </si>
  <si>
    <t xml:space="preserve">Zugang gilt erst drei Werktage nach Aufgabe zur Post.</t>
  </si>
  <si>
    <t xml:space="preserve">{"amount": 2340, "currency": "EUR", "basis": "variable"}</t>
  </si>
  <si>
    <t xml:space="preserve">Die monatliche Grundgebühr beträgt EUR 2.340,00. Hinzu kommen mengenabhängige Entsorgungsentgelte gemäss Preisblatt Anlage 1, die nach tatsächlichem Aufkommen abgerechnet werden.</t>
  </si>
  <si>
    <t xml:space="preserve">Fixe Grundgebühr EUR 2.340 monatlich plus mengenabhängige Entgelte. Der Gesamtwert ist nicht bestimmbar; basis 'variable' mit dem Fixanteil als Untergrenze.</t>
  </si>
  <si>
    <t xml:space="preserve">Die Abrechnung erfolgt monatlich nachschüssig.</t>
  </si>
  <si>
    <t xml:space="preserve">D10</t>
  </si>
  <si>
    <t xml:space="preserve">10_LumenWerk_HelveticFulfilment_FulfilmentServicesAgreement_EN.pdf</t>
  </si>
  <si>
    <t xml:space="preserve">professional_services</t>
  </si>
  <si>
    <t xml:space="preserve">Logistikdienstleistung. 'other' wäre ebenfalls vertretbar.</t>
  </si>
  <si>
    <t xml:space="preserve">2025-02-14</t>
  </si>
  <si>
    <t xml:space="preserve">2025-03-01</t>
  </si>
  <si>
    <t xml:space="preserve">This Agreement commences on 1 March 2025 and shall continue for an initial period of twelve (12) months.</t>
  </si>
  <si>
    <t xml:space="preserve">The Agreement shall renew automatically for successive twelve (12) month periods.</t>
  </si>
  <si>
    <t xml:space="preserve">Der Vertrag enthält keine Kündigungsfrist. Ziffer 6 regelt nur die Form und Anschrift von Erklärungen, nicht eine Frist. Automatische Verlängerung ohne Kündigungsklausel: es gibt keinen vertraglich geregelten Ausstieg vor Ende der jeweiligen Laufzeit.</t>
  </si>
  <si>
    <t xml:space="preserve">{"method": "any_written", "address": "Helvetic Fulfilment Partners AG, Rheinstrasse 92, 4133 Pratteln", "cc": null}</t>
  </si>
  <si>
    <t xml:space="preserve">Any notice under this Agreement shall be in writing and sent to the addresses stated above.</t>
  </si>
  <si>
    <t xml:space="preserve">{"amount": 6200, "currency": "CHF", "basis": "variable"}</t>
  </si>
  <si>
    <t xml:space="preserve">Handling is charged at CHF 4.85 per order fulfilled. Storage is charged at CHF 21.00 per pallet space per month. A minimum monthly charge of CHF 6,200.00 applies.</t>
  </si>
  <si>
    <t xml:space="preserve">Nutzungsabhängig mit monatlicher Mindestgebühr CHF 6.200. Der erfasste Betrag ist die Untergrenze, nicht der erwartete Wert.</t>
  </si>
  <si>
    <t xml:space="preserve">HFP shall invoice monthly in arrears, payable within thirty (30) days.</t>
  </si>
  <si>
    <t xml:space="preserve">D11</t>
  </si>
  <si>
    <t xml:space="preserve">11_LumenWerk_Gruenraum_Dienstleistungsvertrag_DE.pdf</t>
  </si>
  <si>
    <t xml:space="preserve">Dienstleistungsvertrag</t>
  </si>
  <si>
    <t xml:space="preserve">2026-01-22</t>
  </si>
  <si>
    <t xml:space="preserve">2026-02-01</t>
  </si>
  <si>
    <t xml:space="preserve">Der Vertrag beginnt am 1. Februar 2026 und endet ohne weiteres am 31. Januar 2027.</t>
  </si>
  <si>
    <t xml:space="preserve">Aus Anfangs- und Enddatum ableitbar; die Länge selbst ist nicht genannt.</t>
  </si>
  <si>
    <t xml:space="preserve">2027-01-31</t>
  </si>
  <si>
    <t xml:space="preserve">Eine stillschweigende Verlängerung findet nicht statt.</t>
  </si>
  <si>
    <t xml:space="preserve">Keine Verlängerung vorgesehen.</t>
  </si>
  <si>
    <t xml:space="preserve">Keine Kündigungsfrist, da der Vertrag ohne Verlängerung ausläuft. Das ist kein Mangel und darf nicht als blocked geroutet werden.</t>
  </si>
  <si>
    <t xml:space="preserve">{"method": "email", "address": "service@gruenraum-zuerich.ch", "cc": null}</t>
  </si>
  <si>
    <t xml:space="preserve">Mitteilungen erfolgen per E-Mail an service@gruenraum-zuerich.ch.</t>
  </si>
  <si>
    <t xml:space="preserve">{"amount": 460, "currency": "CHF", "basis": "monthly"}</t>
  </si>
  <si>
    <t xml:space="preserve">Die monatliche Pauschale beträgt CHF 460.00 zuzüglich Mehrwertsteuer.</t>
  </si>
  <si>
    <t xml:space="preserve">Die Rechnungsstellung erfolgt quartalsweise im Voraus.</t>
  </si>
  <si>
    <t xml:space="preserve">Was dieses Dokument prüft</t>
  </si>
  <si>
    <t xml:space="preserve">Vertrag ist Teil einer Familie: der Preis in Ziffer 4 ist durch Nachtrag Nr. 1 überholt. Das Dokumentprotokoll muss CHF 18'400 zeigen, das Effektiv-Protokoll CHF 21'700.</t>
  </si>
  <si>
    <t xml:space="preserve">Als eigenständiger Vertrag extrahiert, ergibt das ein Protokoll mit einem gefüllten Feld und sechzehn Nullen, das mit dem echten Vertrag im Register konkurriert.</t>
  </si>
  <si>
    <t xml:space="preserve">Die Indexklausel ist Tier 2 (price_escalation) und darf in den 18 MVP-Feldern NICHT auftauchen.</t>
  </si>
  <si>
    <t xml:space="preserve">Deadline für die laufende Periode lag am 2026-06-02 und ist am Stichtag bereits verstrichen. Das Register muss das als versäumt anzeigen, nicht als offen.</t>
  </si>
  <si>
    <t xml:space="preserve">Anker ist period_end_quarter, nicht term_end. Es gibt kein Vertragsende, von dem aus zurückgerechnet werden könnte.</t>
  </si>
  <si>
    <t xml:space="preserve">renewal_mechanism ist indefinite, nicht auto_renew. Ein unbefristeter Vertrag verlängert sich nicht.</t>
  </si>
  <si>
    <t xml:space="preserve">Ausstiege sind nur 31.03. / 30.06. / 30.09. / 31.12. Am Stichtag ist der nächste erreichbare Ausstieg der 31.12.2026 mit Frist bis 30.09.2026.</t>
  </si>
  <si>
    <t xml:space="preserve">Der Konflikt ist die Prüfung. Ein Extraktor, der drei Monate ODER sechs Monate mit hoher Konfidenz zurückgibt, hat versagt — auch wenn die Zahl aus dem Hauptteil stammt.</t>
  </si>
  <si>
    <t xml:space="preserve">Die einmalige Implementierungsgebühr von EUR 14.500 in Annex C.3 darf contract_value nicht überschreiben; der Vertragswert ist der jährliche Abonnementbetrag.</t>
  </si>
  <si>
    <t xml:space="preserve">notice_deadline ist NICHT berechenbar, solange der Konflikt offen ist.</t>
  </si>
  <si>
    <t xml:space="preserve">Zwei Kündigungsfristen. Wird die 90-Tage-Convenience-Frist als 'die' Frist angezeigt, wirkt das Fenster entspannt, obwohl der Verlängerungsstichtag ein anderer ist.</t>
  </si>
  <si>
    <t xml:space="preserve">initial_term_end_date ist nicht genannt und muss not_found bleiben — die Arithmetik gehört ins Skript, nicht in die Extraktion.</t>
  </si>
  <si>
    <t xml:space="preserve">Zustellung nur per Einschreiben: eine E-Mail-Erinnerung erledigt die Kündigung nicht.</t>
  </si>
  <si>
    <t xml:space="preserve">Kein Textlayer. Die Extraktion muss has_text_layer=false melden und den Datensatz in die Prüfung routen, auch wenn alle Felder gefüllt sind.</t>
  </si>
  <si>
    <t xml:space="preserve">Kein Feld darf mit confidence 'high' zurückkommen. Alles stammt aus OCR.</t>
  </si>
  <si>
    <t xml:space="preserve">Deadline für die laufende Periode war der 30.06.2026 und ist am Stichtag verstrichen; die Verlängerung bis 30.09.2027 ist bereits eingetreten.</t>
  </si>
  <si>
    <t xml:space="preserve">Der Eingangsstempel (21.09.2021) ist kein Vertragsdatum und darf nicht als effective_date oder signature_date verwendet werden.</t>
  </si>
  <si>
    <t xml:space="preserve">basis ist monthly, nicht annual. Ein Register, das EUR 1.180 als Jahreswert aggregiert, unterschätzt die Verpflichtung um den Faktor zwölf.</t>
  </si>
  <si>
    <t xml:space="preserve">'30 Werktage' darf nicht in 30 oder 42 Kalendertage umgerechnet werden. Erwartet wird status=ambiguous, nicht ein plausibles Datum.</t>
  </si>
  <si>
    <t xml:space="preserve">Die Zugangsfiktion (drei Werktage nach Aufgabe zur Post) verschiebt die reale Frist nach vorn und muss in notice_delivery erfasst werden.</t>
  </si>
  <si>
    <t xml:space="preserve">basis ist variable. Wer EUR 2.340 als vollständigen Monatswert aggregiert, unterschätzt die Verpflichtung um den mengenabhängigen Anteil.</t>
  </si>
  <si>
    <t xml:space="preserve">Die Preisanpassungsklausel in Ziffer 5 ist Tier 2 und gehört nicht in die 18 MVP-Felder.</t>
  </si>
  <si>
    <t xml:space="preserve">Die Kündigungsklausel fehlt vollständig. Die Ziffer 'Notices' existiert und ist der Köder — sie enthält eine Anschrift, aber keine Frist.</t>
  </si>
  <si>
    <t xml:space="preserve">Erwartet wird notice_period.status = not_found und review_status = blocked, weil keine Deadline berechenbar ist. Eine erfundene Frist von 30, 60 oder 90 Tagen ist der teuerste Fehlermodus im ganzen Set.</t>
  </si>
  <si>
    <t xml:space="preserve">Das ist gleichzeitig ein Produktbefund, kein Datenfehler: der richtige UI-Text lautet 'automatische Verlängerung ohne vereinbarte Kündigungsfrist', nicht ein leeres Feld.</t>
  </si>
  <si>
    <t xml:space="preserve">renewal_mechanism ist expires. Der Vertrag läuft aus und muss nicht gekündigt werden; er braucht eine Verlängerungsentscheidung vor dem 31.01.2027, keine Kündigungserinnerung.</t>
  </si>
  <si>
    <t xml:space="preserve">notice_period ist not_found und das ist korrekt. Ein Extraktor, der hier blocked routet, erzeugt einen Fehlalarm — das ist der Gegentest zu Familie 09.</t>
  </si>
  <si>
    <t xml:space="preserve">basis (monthly) und billing_frequency (quarterly) weichen voneinander ab.</t>
  </si>
  <si>
    <t xml:space="preserve">Konkurrierende Lesarten (dort, wo keine Deadline berechenbar ist)</t>
  </si>
  <si>
    <t xml:space="preserve">Ziffer 11.2 — 3 Monate → 2027-07-31</t>
  </si>
  <si>
    <t xml:space="preserve">Annex C.4 — 6 Monate → 2027-04-30</t>
  </si>
  <si>
    <t xml:space="preserve">naiv: 30 Kalendertage vor 31.12.2026 → 2026-12-01</t>
  </si>
  <si>
    <t xml:space="preserve">30 Werktage vor 31.12.2026 (ca.) → 2026-11-18</t>
  </si>
  <si>
    <t xml:space="preserve">30 Werktage + 3 Werktage Zugangsfiktion, Aufgabe zur Post bis (ca.) → 2026-11-13</t>
  </si>
  <si>
    <t xml:space="preserve">Entscheidung über Neuabschluss bis → 2027-01-31</t>
  </si>
  <si>
    <t xml:space="preserve">Befunde aus compute_deadline.py (vor der ersten Extraktion)</t>
  </si>
  <si>
    <t xml:space="preserve">Befund 1</t>
  </si>
  <si>
    <t xml:space="preserve">Abgeleitetes Vertragsende ist um einen Tag zu spät.</t>
  </si>
  <si>
    <t xml:space="preserve">Beleg</t>
  </si>
  <si>
    <t xml:space="preserve">--effective-date 2023-05-01 --term-amount 36 --term-unit months liefert term_end 2026-05-01. Der Vertrag nennt selbst den 30.04.2026. Das Skript behandelt das Ende exklusiv (Beginn der Folgeperiode).</t>
  </si>
  <si>
    <t xml:space="preserve">Wirkung</t>
  </si>
  <si>
    <t xml:space="preserve">Deadline 2026-11-01 statt 2026-10-30. Betroffen sind alle Verträge, die nur eine Laufzeitlänge und kein Enddatum nennen: FAM-05, FAM-06, FAM-09. Ein Tag zu spät ist bei einer Kündigungsfrist ein versäumter Termin, kein Rundungsfehler.</t>
  </si>
  <si>
    <t xml:space="preserve">Empfehlung</t>
  </si>
  <si>
    <t xml:space="preserve">Endinklusiv rechnen: term_end = effective_date + Laufzeit − 1 Tag. Regressionstest gegen FAM-01, das beide Wege vergleichbar macht, weil es sein Enddatum nennt.</t>
  </si>
  <si>
    <t xml:space="preserve">Befund 2</t>
  </si>
  <si>
    <t xml:space="preserve">period_end_quarter verweigert die Berechnung bei unbefristeten Verträgen.</t>
  </si>
  <si>
    <t xml:space="preserve">--renewal indefinite --notice-anchor period_end_quarter ohne term-end-date liefert: 'Need either a term end date, or an effective date plus a term length.' Mit einem künstlich gesetzten term-end-date rechnet dasselbe Skript korrekt (31.12.2026, Deadline 30.09.2026) und warnt sogar richtig.</t>
  </si>
  <si>
    <t xml:space="preserve">Quartalsenden sind Kalenderdaten. Ein unbefristeter Vertrag hat kein Vertragsende, von dem aus gerechnet werden müsste — die Eingabe wird verlangt und dann nicht gebraucht. Genau die Konstellation aus FAM-03 ist in DACH die häufigste Form der Quartalsend-Kündigung, und sie ist der Fall, auf dem die Produktgeschichte aufbaut.</t>
  </si>
  <si>
    <t xml:space="preserve">Für period_end_month/quarter/year die Anforderung an Laufzeitdaten fallen lassen und allein aus as-of plus Frist rechnen.</t>
  </si>
  <si>
    <t xml:space="preserve">Befund 3</t>
  </si>
  <si>
    <t xml:space="preserve">Die Komplexitätsableitung gewichtet die schwersten Fälle zu niedrig.</t>
  </si>
  <si>
    <t xml:space="preserve">FAM-06 (Scan, Deadline bereits verstrichen) erhält 'low' — denselben Wert wie FAM-07 und FAM-10, die sauber und unkritisch sind. FAM-09 (keine Kündigungsklausel, review_status blocked) erhält 'medium'.</t>
  </si>
  <si>
    <t xml:space="preserve">Wird complexity_level zum Routing verwendet, landen genau die zwei Verträge, die einen Menschen brauchen, in derselben Spur wie die unproblematischen.</t>
  </si>
  <si>
    <t xml:space="preserve">Scan und blocked separat gewichten (z. B. +2 statt +1), oder Routing an review_status hängen statt an complexity_level. Die Regel selbst bleibt reproduzierbar — sie ist nur falsch kalibriert.</t>
  </si>
  <si>
    <t xml:space="preserve">Nicht getestet</t>
  </si>
  <si>
    <t xml:space="preserve">OCR-Qualität. FAM-06 ist als Bild ohne Textlayer gebaut; welche Fehler die OCR-Stufe produziert, entscheidet sich erst in der Pipeline. Kandidaten sind 'EUR 8.940,00' (deutsches Tausendertrennzeichen) und 'SGT/WV/2021-0088'.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</si>
</sst>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5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4DC"/>
        <bgColor rgb="FFEFEFEF"/>
      </patternFill>
    </fill>
    <fill>
      <patternFill patternType="solid">
        <fgColor rgb="FFE3F1E3"/>
        <bgColor rgb="FFEFEFEF"/>
      </patternFill>
    </fill>
    <fill>
      <patternFill patternType="solid">
        <fgColor rgb="FFFBE3E3"/>
        <bgColor rgb="FFEFEFEF"/>
      </patternFill>
    </fill>
    <fill>
      <patternFill patternType="solid">
        <fgColor rgb="FFEFEFEF"/>
        <bgColor rgb="FFE3F1E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C"/>
      <rgbColor rgb="FFEFEFEF"/>
      <rgbColor rgb="FF660066"/>
      <rgbColor rgb="FFFF8080"/>
      <rgbColor rgb="FF0066CC"/>
      <rgbColor rgb="FFC9D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3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" t="s">
        <v>0</v>
      </c>
    </row>
    <row r="3" customFormat="false" ht="55.5" hidden="false" customHeight="true" outlineLevel="0" collapsed="false">
      <c r="A3" s="2" t="s">
        <v>1</v>
      </c>
      <c r="B3" s="3" t="s">
        <v>2</v>
      </c>
    </row>
    <row r="4" customFormat="false" ht="13.5" hidden="false" customHeight="true" outlineLevel="0" collapsed="false">
      <c r="A4" s="2" t="s">
        <v>3</v>
      </c>
      <c r="B4" s="3" t="s">
        <v>4</v>
      </c>
    </row>
    <row r="5" customFormat="false" ht="13.5" hidden="false" customHeight="true" outlineLevel="0" collapsed="false">
      <c r="A5" s="2" t="s">
        <v>5</v>
      </c>
      <c r="B5" s="3" t="s">
        <v>6</v>
      </c>
    </row>
    <row r="6" customFormat="false" ht="13.5" hidden="false" customHeight="true" outlineLevel="0" collapsed="false">
      <c r="A6" s="2" t="s">
        <v>7</v>
      </c>
      <c r="B6" s="3" t="s">
        <v>8</v>
      </c>
    </row>
    <row r="7" customFormat="false" ht="13.5" hidden="false" customHeight="true" outlineLevel="0" collapsed="false">
      <c r="A7" s="2" t="s">
        <v>9</v>
      </c>
      <c r="B7" s="3" t="s">
        <v>10</v>
      </c>
    </row>
    <row r="8" customFormat="false" ht="27.75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  <row r="10" customFormat="false" ht="13.5" hidden="false" customHeight="true" outlineLevel="0" collapsed="false">
      <c r="A10" s="2" t="s">
        <v>15</v>
      </c>
      <c r="B10" s="3" t="s">
        <v>16</v>
      </c>
    </row>
    <row r="11" customFormat="false" ht="13.5" hidden="false" customHeight="tru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2" t="s">
        <v>19</v>
      </c>
    </row>
    <row r="14" customFormat="false" ht="15" hidden="false" customHeight="false" outlineLevel="0" collapsed="false">
      <c r="A14" s="4" t="s">
        <v>20</v>
      </c>
      <c r="B14" s="4" t="n">
        <f aca="false">COUNTIF(Register!L:L,"clean")</f>
        <v>3</v>
      </c>
    </row>
    <row r="15" customFormat="false" ht="15" hidden="false" customHeight="false" outlineLevel="0" collapsed="false">
      <c r="A15" s="4" t="s">
        <v>21</v>
      </c>
      <c r="B15" s="4" t="n">
        <f aca="false">COUNTIF(Register!L:L,"medium")</f>
        <v>3</v>
      </c>
    </row>
    <row r="16" customFormat="false" ht="15" hidden="false" customHeight="false" outlineLevel="0" collapsed="false">
      <c r="A16" s="4" t="s">
        <v>22</v>
      </c>
      <c r="B16" s="4" t="n">
        <f aca="false">COUNTIF(Register!L:L,"hard")</f>
        <v>4</v>
      </c>
    </row>
    <row r="17" customFormat="false" ht="15" hidden="false" customHeight="false" outlineLevel="0" collapsed="false">
      <c r="A17" s="2" t="s">
        <v>23</v>
      </c>
      <c r="B17" s="2" t="n">
        <f aca="false">COUNTA(Register!A2:A100)</f>
        <v>10</v>
      </c>
    </row>
    <row r="19" customFormat="false" ht="22.35" hidden="false" customHeight="false" outlineLevel="0" collapsed="false">
      <c r="A19" s="2" t="s">
        <v>24</v>
      </c>
      <c r="B19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2" min="11" style="0" width="13"/>
    <col collapsed="false" customWidth="true" hidden="false" outlineLevel="0" max="13" min="13" style="0" width="34"/>
    <col collapsed="false" customWidth="true" hidden="false" outlineLevel="0" max="14" min="14" style="0" width="22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6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17"/>
    <col collapsed="false" customWidth="true" hidden="false" outlineLevel="0" max="22" min="22" style="0" width="7"/>
    <col collapsed="false" customWidth="true" hidden="false" outlineLevel="0" max="23" min="23" style="0" width="16"/>
    <col collapsed="false" customWidth="true" hidden="false" outlineLevel="0" max="24" min="24" style="0" width="6"/>
    <col collapsed="false" customWidth="true" hidden="false" outlineLevel="0" max="26" min="25" style="0" width="15"/>
    <col collapsed="false" customWidth="true" hidden="false" outlineLevel="0" max="27" min="27" style="0" width="16"/>
    <col collapsed="false" customWidth="true" hidden="false" outlineLevel="0" max="28" min="28" style="0" width="7"/>
    <col collapsed="false" customWidth="true" hidden="false" outlineLevel="0" max="29" min="29" style="0" width="30"/>
  </cols>
  <sheetData>
    <row r="1" customFormat="false" ht="30" hidden="false" customHeight="tru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7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6" t="s">
        <v>45</v>
      </c>
      <c r="V1" s="6" t="s">
        <v>46</v>
      </c>
      <c r="W1" s="6" t="s">
        <v>47</v>
      </c>
      <c r="X1" s="6" t="s">
        <v>48</v>
      </c>
      <c r="Y1" s="6" t="s">
        <v>49</v>
      </c>
      <c r="Z1" s="6" t="s">
        <v>50</v>
      </c>
      <c r="AA1" s="6" t="s">
        <v>51</v>
      </c>
      <c r="AB1" s="6" t="s">
        <v>52</v>
      </c>
      <c r="AC1" s="6" t="s">
        <v>53</v>
      </c>
    </row>
    <row r="2" customFormat="false" ht="42" hidden="false" customHeight="true" outlineLevel="0" collapsed="false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  <c r="J2" s="7" t="s">
        <v>63</v>
      </c>
      <c r="K2" s="7" t="s">
        <v>64</v>
      </c>
      <c r="L2" s="8" t="s">
        <v>65</v>
      </c>
      <c r="M2" s="7" t="s">
        <v>66</v>
      </c>
      <c r="N2" s="7" t="s">
        <v>67</v>
      </c>
      <c r="O2" s="7" t="s">
        <v>68</v>
      </c>
      <c r="P2" s="7" t="n">
        <v>21700</v>
      </c>
      <c r="Q2" s="7" t="s">
        <v>69</v>
      </c>
      <c r="R2" s="7" t="s">
        <v>70</v>
      </c>
      <c r="S2" s="7" t="s">
        <v>70</v>
      </c>
      <c r="T2" s="7" t="s">
        <v>71</v>
      </c>
      <c r="U2" s="7" t="s">
        <v>72</v>
      </c>
      <c r="V2" s="7" t="n">
        <v>63</v>
      </c>
      <c r="W2" s="7" t="s">
        <v>73</v>
      </c>
      <c r="X2" s="7" t="n">
        <v>2</v>
      </c>
      <c r="Y2" s="7" t="s">
        <v>74</v>
      </c>
      <c r="Z2" s="7" t="s">
        <v>75</v>
      </c>
      <c r="AA2" s="7" t="s">
        <v>65</v>
      </c>
      <c r="AB2" s="7" t="n">
        <v>2</v>
      </c>
      <c r="AC2" s="7" t="s">
        <v>76</v>
      </c>
    </row>
    <row r="3" customFormat="false" ht="42" hidden="false" customHeight="true" outlineLevel="0" collapsed="false">
      <c r="A3" s="7" t="s">
        <v>77</v>
      </c>
      <c r="B3" s="7" t="s">
        <v>55</v>
      </c>
      <c r="C3" s="7" t="s">
        <v>56</v>
      </c>
      <c r="D3" s="7" t="s">
        <v>57</v>
      </c>
      <c r="E3" s="7" t="s">
        <v>78</v>
      </c>
      <c r="F3" s="7" t="s">
        <v>79</v>
      </c>
      <c r="G3" s="7" t="s">
        <v>80</v>
      </c>
      <c r="H3" s="7" t="s">
        <v>81</v>
      </c>
      <c r="I3" s="7" t="s">
        <v>82</v>
      </c>
      <c r="J3" s="7" t="s">
        <v>63</v>
      </c>
      <c r="K3" s="7" t="s">
        <v>64</v>
      </c>
      <c r="L3" s="9" t="s">
        <v>83</v>
      </c>
      <c r="M3" s="7" t="s">
        <v>84</v>
      </c>
      <c r="N3" s="7" t="s">
        <v>67</v>
      </c>
      <c r="O3" s="7" t="s">
        <v>85</v>
      </c>
      <c r="P3" s="7" t="n">
        <v>18000</v>
      </c>
      <c r="Q3" s="7" t="s">
        <v>69</v>
      </c>
      <c r="R3" s="7" t="s">
        <v>70</v>
      </c>
      <c r="S3" s="7" t="s">
        <v>70</v>
      </c>
      <c r="T3" s="7" t="s">
        <v>86</v>
      </c>
      <c r="U3" s="7" t="s">
        <v>87</v>
      </c>
      <c r="V3" s="7" t="n">
        <v>-87</v>
      </c>
      <c r="W3" s="10" t="s">
        <v>88</v>
      </c>
      <c r="X3" s="7" t="n">
        <v>1</v>
      </c>
      <c r="Y3" s="7" t="s">
        <v>74</v>
      </c>
      <c r="Z3" s="7" t="s">
        <v>89</v>
      </c>
      <c r="AA3" s="7" t="s">
        <v>90</v>
      </c>
      <c r="AB3" s="7" t="n">
        <v>1</v>
      </c>
      <c r="AC3" s="7" t="s">
        <v>89</v>
      </c>
    </row>
    <row r="4" customFormat="false" ht="42" hidden="false" customHeight="true" outlineLevel="0" collapsed="false">
      <c r="A4" s="7" t="s">
        <v>91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  <c r="J4" s="7" t="s">
        <v>100</v>
      </c>
      <c r="K4" s="7"/>
      <c r="L4" s="8" t="s">
        <v>65</v>
      </c>
      <c r="M4" s="7" t="s">
        <v>101</v>
      </c>
      <c r="N4" s="7" t="s">
        <v>102</v>
      </c>
      <c r="O4" s="7" t="s">
        <v>68</v>
      </c>
      <c r="P4" s="7" t="n">
        <v>12900</v>
      </c>
      <c r="Q4" s="7" t="s">
        <v>103</v>
      </c>
      <c r="R4" s="7" t="s">
        <v>104</v>
      </c>
      <c r="S4" s="7" t="s">
        <v>104</v>
      </c>
      <c r="T4" s="7" t="s">
        <v>105</v>
      </c>
      <c r="U4" s="7" t="s">
        <v>106</v>
      </c>
      <c r="V4" s="7" t="n">
        <v>33</v>
      </c>
      <c r="W4" s="7" t="s">
        <v>73</v>
      </c>
      <c r="X4" s="7" t="n">
        <v>1</v>
      </c>
      <c r="Y4" s="7" t="s">
        <v>74</v>
      </c>
      <c r="Z4" s="7" t="s">
        <v>89</v>
      </c>
      <c r="AA4" s="7" t="s">
        <v>65</v>
      </c>
      <c r="AB4" s="7" t="n">
        <v>2</v>
      </c>
      <c r="AC4" s="7" t="s">
        <v>89</v>
      </c>
    </row>
    <row r="5" customFormat="false" ht="42" hidden="false" customHeight="true" outlineLevel="0" collapsed="false">
      <c r="A5" s="7" t="s">
        <v>107</v>
      </c>
      <c r="B5" s="7" t="s">
        <v>92</v>
      </c>
      <c r="C5" s="7" t="s">
        <v>93</v>
      </c>
      <c r="D5" s="7" t="s">
        <v>94</v>
      </c>
      <c r="E5" s="7" t="s">
        <v>108</v>
      </c>
      <c r="F5" s="7" t="s">
        <v>109</v>
      </c>
      <c r="G5" s="7" t="s">
        <v>110</v>
      </c>
      <c r="H5" s="7" t="s">
        <v>111</v>
      </c>
      <c r="I5" s="7" t="s">
        <v>112</v>
      </c>
      <c r="J5" s="7" t="s">
        <v>63</v>
      </c>
      <c r="K5" s="7" t="s">
        <v>64</v>
      </c>
      <c r="L5" s="10" t="s">
        <v>113</v>
      </c>
      <c r="M5" s="7" t="s">
        <v>114</v>
      </c>
      <c r="N5" s="7" t="s">
        <v>67</v>
      </c>
      <c r="O5" s="7" t="s">
        <v>115</v>
      </c>
      <c r="P5" s="7" t="n">
        <v>96000</v>
      </c>
      <c r="Q5" s="7" t="s">
        <v>103</v>
      </c>
      <c r="R5" s="7" t="s">
        <v>70</v>
      </c>
      <c r="S5" s="7" t="s">
        <v>116</v>
      </c>
      <c r="T5" s="7" t="s">
        <v>117</v>
      </c>
      <c r="U5" s="7" t="s">
        <v>89</v>
      </c>
      <c r="V5" s="7"/>
      <c r="W5" s="10" t="s">
        <v>118</v>
      </c>
      <c r="X5" s="7" t="n">
        <v>1</v>
      </c>
      <c r="Y5" s="7" t="s">
        <v>74</v>
      </c>
      <c r="Z5" s="7" t="s">
        <v>89</v>
      </c>
      <c r="AA5" s="7" t="s">
        <v>65</v>
      </c>
      <c r="AB5" s="7" t="n">
        <v>2</v>
      </c>
      <c r="AC5" s="7" t="s">
        <v>89</v>
      </c>
    </row>
    <row r="6" customFormat="false" ht="42" hidden="false" customHeight="true" outlineLevel="0" collapsed="false">
      <c r="A6" s="7" t="s">
        <v>119</v>
      </c>
      <c r="B6" s="7" t="s">
        <v>120</v>
      </c>
      <c r="C6" s="7" t="s">
        <v>121</v>
      </c>
      <c r="D6" s="7" t="s">
        <v>122</v>
      </c>
      <c r="E6" s="7" t="s">
        <v>123</v>
      </c>
      <c r="F6" s="7" t="s">
        <v>124</v>
      </c>
      <c r="G6" s="7" t="s">
        <v>125</v>
      </c>
      <c r="H6" s="7" t="s">
        <v>126</v>
      </c>
      <c r="I6" s="7" t="s">
        <v>127</v>
      </c>
      <c r="J6" s="7" t="s">
        <v>63</v>
      </c>
      <c r="K6" s="7" t="s">
        <v>64</v>
      </c>
      <c r="L6" s="8" t="s">
        <v>65</v>
      </c>
      <c r="M6" s="7" t="s">
        <v>128</v>
      </c>
      <c r="N6" s="7" t="s">
        <v>129</v>
      </c>
      <c r="O6" s="7" t="s">
        <v>68</v>
      </c>
      <c r="P6" s="7" t="n">
        <v>41760</v>
      </c>
      <c r="Q6" s="7" t="s">
        <v>103</v>
      </c>
      <c r="R6" s="7" t="s">
        <v>70</v>
      </c>
      <c r="S6" s="7" t="s">
        <v>70</v>
      </c>
      <c r="T6" s="7" t="s">
        <v>130</v>
      </c>
      <c r="U6" s="7" t="s">
        <v>131</v>
      </c>
      <c r="V6" s="7" t="n">
        <v>246</v>
      </c>
      <c r="W6" s="7" t="s">
        <v>73</v>
      </c>
      <c r="X6" s="7" t="n">
        <v>1</v>
      </c>
      <c r="Y6" s="7" t="s">
        <v>74</v>
      </c>
      <c r="Z6" s="7" t="s">
        <v>89</v>
      </c>
      <c r="AA6" s="7" t="s">
        <v>65</v>
      </c>
      <c r="AB6" s="7" t="n">
        <v>2</v>
      </c>
      <c r="AC6" s="7" t="s">
        <v>89</v>
      </c>
    </row>
    <row r="7" customFormat="false" ht="42" hidden="false" customHeight="true" outlineLevel="0" collapsed="false">
      <c r="A7" s="7" t="s">
        <v>132</v>
      </c>
      <c r="B7" s="7" t="s">
        <v>120</v>
      </c>
      <c r="C7" s="7" t="s">
        <v>121</v>
      </c>
      <c r="D7" s="7" t="s">
        <v>122</v>
      </c>
      <c r="E7" s="7" t="s">
        <v>133</v>
      </c>
      <c r="F7" s="7" t="s">
        <v>134</v>
      </c>
      <c r="G7" s="7" t="s">
        <v>135</v>
      </c>
      <c r="H7" s="7" t="s">
        <v>136</v>
      </c>
      <c r="I7" s="7" t="s">
        <v>137</v>
      </c>
      <c r="J7" s="7" t="s">
        <v>63</v>
      </c>
      <c r="K7" s="7" t="s">
        <v>64</v>
      </c>
      <c r="L7" s="10" t="s">
        <v>113</v>
      </c>
      <c r="M7" s="7" t="s">
        <v>101</v>
      </c>
      <c r="N7" s="7" t="s">
        <v>67</v>
      </c>
      <c r="O7" s="7" t="s">
        <v>115</v>
      </c>
      <c r="P7" s="7" t="n">
        <v>8940</v>
      </c>
      <c r="Q7" s="7" t="s">
        <v>103</v>
      </c>
      <c r="R7" s="7" t="s">
        <v>70</v>
      </c>
      <c r="S7" s="7" t="s">
        <v>70</v>
      </c>
      <c r="T7" s="7" t="s">
        <v>138</v>
      </c>
      <c r="U7" s="7" t="s">
        <v>105</v>
      </c>
      <c r="V7" s="7" t="n">
        <v>-59</v>
      </c>
      <c r="W7" s="10" t="s">
        <v>88</v>
      </c>
      <c r="X7" s="7" t="n">
        <v>1</v>
      </c>
      <c r="Y7" s="7" t="s">
        <v>74</v>
      </c>
      <c r="Z7" s="7" t="s">
        <v>89</v>
      </c>
      <c r="AA7" s="7" t="s">
        <v>90</v>
      </c>
      <c r="AB7" s="7" t="n">
        <v>1</v>
      </c>
      <c r="AC7" s="7" t="s">
        <v>89</v>
      </c>
    </row>
    <row r="8" customFormat="false" ht="42" hidden="false" customHeight="true" outlineLevel="0" collapsed="false">
      <c r="A8" s="7" t="s">
        <v>139</v>
      </c>
      <c r="B8" s="7" t="s">
        <v>140</v>
      </c>
      <c r="C8" s="7" t="s">
        <v>141</v>
      </c>
      <c r="D8" s="7" t="s">
        <v>94</v>
      </c>
      <c r="E8" s="7" t="s">
        <v>142</v>
      </c>
      <c r="F8" s="7" t="s">
        <v>143</v>
      </c>
      <c r="G8" s="7" t="s">
        <v>144</v>
      </c>
      <c r="H8" s="7" t="s">
        <v>145</v>
      </c>
      <c r="I8" s="7" t="s">
        <v>146</v>
      </c>
      <c r="J8" s="7" t="s">
        <v>63</v>
      </c>
      <c r="K8" s="7" t="s">
        <v>64</v>
      </c>
      <c r="L8" s="9" t="s">
        <v>83</v>
      </c>
      <c r="M8" s="7" t="s">
        <v>101</v>
      </c>
      <c r="N8" s="7" t="s">
        <v>67</v>
      </c>
      <c r="O8" s="7" t="s">
        <v>115</v>
      </c>
      <c r="P8" s="7" t="n">
        <v>1180</v>
      </c>
      <c r="Q8" s="7" t="s">
        <v>103</v>
      </c>
      <c r="R8" s="7" t="s">
        <v>104</v>
      </c>
      <c r="S8" s="7" t="s">
        <v>104</v>
      </c>
      <c r="T8" s="7" t="s">
        <v>147</v>
      </c>
      <c r="U8" s="7" t="s">
        <v>148</v>
      </c>
      <c r="V8" s="7" t="n">
        <v>184</v>
      </c>
      <c r="W8" s="7" t="s">
        <v>73</v>
      </c>
      <c r="X8" s="7" t="n">
        <v>1</v>
      </c>
      <c r="Y8" s="7" t="s">
        <v>74</v>
      </c>
      <c r="Z8" s="7" t="s">
        <v>89</v>
      </c>
      <c r="AA8" s="7" t="s">
        <v>90</v>
      </c>
      <c r="AB8" s="7" t="n">
        <v>0</v>
      </c>
      <c r="AC8" s="7" t="s">
        <v>89</v>
      </c>
    </row>
    <row r="9" customFormat="false" ht="42" hidden="false" customHeight="true" outlineLevel="0" collapsed="false">
      <c r="A9" s="7" t="s">
        <v>149</v>
      </c>
      <c r="B9" s="7" t="s">
        <v>140</v>
      </c>
      <c r="C9" s="7" t="s">
        <v>141</v>
      </c>
      <c r="D9" s="7" t="s">
        <v>94</v>
      </c>
      <c r="E9" s="7" t="s">
        <v>150</v>
      </c>
      <c r="F9" s="7" t="s">
        <v>151</v>
      </c>
      <c r="G9" s="7" t="s">
        <v>152</v>
      </c>
      <c r="H9" s="7" t="s">
        <v>153</v>
      </c>
      <c r="I9" s="7" t="s">
        <v>154</v>
      </c>
      <c r="J9" s="7" t="s">
        <v>63</v>
      </c>
      <c r="K9" s="7" t="s">
        <v>64</v>
      </c>
      <c r="L9" s="10" t="s">
        <v>113</v>
      </c>
      <c r="M9" s="7" t="s">
        <v>155</v>
      </c>
      <c r="N9" s="7" t="s">
        <v>67</v>
      </c>
      <c r="O9" s="7" t="s">
        <v>156</v>
      </c>
      <c r="P9" s="7" t="n">
        <v>2340</v>
      </c>
      <c r="Q9" s="7" t="s">
        <v>103</v>
      </c>
      <c r="R9" s="7" t="s">
        <v>157</v>
      </c>
      <c r="S9" s="7" t="s">
        <v>104</v>
      </c>
      <c r="T9" s="7" t="s">
        <v>117</v>
      </c>
      <c r="U9" s="7" t="s">
        <v>89</v>
      </c>
      <c r="V9" s="7"/>
      <c r="W9" s="10" t="s">
        <v>118</v>
      </c>
      <c r="X9" s="7" t="n">
        <v>1</v>
      </c>
      <c r="Y9" s="7" t="s">
        <v>74</v>
      </c>
      <c r="Z9" s="7" t="s">
        <v>89</v>
      </c>
      <c r="AA9" s="7" t="s">
        <v>65</v>
      </c>
      <c r="AB9" s="7" t="n">
        <v>3</v>
      </c>
      <c r="AC9" s="7" t="s">
        <v>89</v>
      </c>
    </row>
    <row r="10" customFormat="false" ht="42" hidden="false" customHeight="true" outlineLevel="0" collapsed="false">
      <c r="A10" s="7" t="s">
        <v>158</v>
      </c>
      <c r="B10" s="7" t="s">
        <v>159</v>
      </c>
      <c r="C10" s="7" t="s">
        <v>160</v>
      </c>
      <c r="D10" s="7" t="s">
        <v>57</v>
      </c>
      <c r="E10" s="7" t="s">
        <v>161</v>
      </c>
      <c r="F10" s="7" t="s">
        <v>162</v>
      </c>
      <c r="G10" s="7" t="s">
        <v>163</v>
      </c>
      <c r="H10" s="7" t="s">
        <v>164</v>
      </c>
      <c r="I10" s="7" t="s">
        <v>165</v>
      </c>
      <c r="J10" s="7" t="s">
        <v>63</v>
      </c>
      <c r="K10" s="7" t="s">
        <v>64</v>
      </c>
      <c r="L10" s="10" t="s">
        <v>113</v>
      </c>
      <c r="M10" s="7" t="s">
        <v>166</v>
      </c>
      <c r="N10" s="7"/>
      <c r="O10" s="7" t="s">
        <v>115</v>
      </c>
      <c r="P10" s="7" t="n">
        <v>6200</v>
      </c>
      <c r="Q10" s="7" t="s">
        <v>69</v>
      </c>
      <c r="R10" s="7" t="s">
        <v>157</v>
      </c>
      <c r="S10" s="7" t="s">
        <v>104</v>
      </c>
      <c r="T10" s="7" t="s">
        <v>117</v>
      </c>
      <c r="U10" s="7" t="s">
        <v>89</v>
      </c>
      <c r="V10" s="7"/>
      <c r="W10" s="10" t="s">
        <v>167</v>
      </c>
      <c r="X10" s="7" t="n">
        <v>1</v>
      </c>
      <c r="Y10" s="7" t="s">
        <v>74</v>
      </c>
      <c r="Z10" s="7" t="s">
        <v>89</v>
      </c>
      <c r="AA10" s="7" t="s">
        <v>65</v>
      </c>
      <c r="AB10" s="7" t="n">
        <v>2</v>
      </c>
      <c r="AC10" s="7" t="s">
        <v>89</v>
      </c>
    </row>
    <row r="11" customFormat="false" ht="42" hidden="false" customHeight="true" outlineLevel="0" collapsed="false">
      <c r="A11" s="7" t="s">
        <v>168</v>
      </c>
      <c r="B11" s="7" t="s">
        <v>159</v>
      </c>
      <c r="C11" s="7" t="s">
        <v>160</v>
      </c>
      <c r="D11" s="7" t="s">
        <v>57</v>
      </c>
      <c r="E11" s="7" t="s">
        <v>169</v>
      </c>
      <c r="F11" s="7" t="s">
        <v>170</v>
      </c>
      <c r="G11" s="7" t="s">
        <v>171</v>
      </c>
      <c r="H11" s="7" t="s">
        <v>172</v>
      </c>
      <c r="I11" s="7" t="s">
        <v>173</v>
      </c>
      <c r="J11" s="7" t="s">
        <v>174</v>
      </c>
      <c r="K11" s="7"/>
      <c r="L11" s="9" t="s">
        <v>83</v>
      </c>
      <c r="M11" s="7" t="s">
        <v>175</v>
      </c>
      <c r="N11" s="7"/>
      <c r="O11" s="7" t="s">
        <v>85</v>
      </c>
      <c r="P11" s="7" t="n">
        <v>460</v>
      </c>
      <c r="Q11" s="7" t="s">
        <v>69</v>
      </c>
      <c r="R11" s="7" t="s">
        <v>104</v>
      </c>
      <c r="S11" s="7" t="s">
        <v>116</v>
      </c>
      <c r="T11" s="7" t="s">
        <v>117</v>
      </c>
      <c r="U11" s="7" t="s">
        <v>89</v>
      </c>
      <c r="V11" s="7"/>
      <c r="W11" s="7" t="s">
        <v>174</v>
      </c>
      <c r="X11" s="7" t="n">
        <v>1</v>
      </c>
      <c r="Y11" s="7" t="s">
        <v>74</v>
      </c>
      <c r="Z11" s="7" t="s">
        <v>89</v>
      </c>
      <c r="AA11" s="7" t="s">
        <v>90</v>
      </c>
      <c r="AB11" s="7" t="n">
        <v>0</v>
      </c>
      <c r="AC11" s="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2"/>
    <col collapsed="false" customWidth="true" hidden="false" outlineLevel="0" max="12" min="12" style="0" width="62"/>
    <col collapsed="false" customWidth="true" hidden="false" outlineLevel="0" max="13" min="13" style="0" width="52"/>
  </cols>
  <sheetData>
    <row r="1" customFormat="false" ht="30" hidden="false" customHeight="true" outlineLevel="0" collapsed="false">
      <c r="A1" s="6" t="s">
        <v>176</v>
      </c>
      <c r="B1" s="6" t="s">
        <v>26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  <c r="J1" s="6" t="s">
        <v>184</v>
      </c>
      <c r="K1" s="6" t="s">
        <v>185</v>
      </c>
      <c r="L1" s="6" t="s">
        <v>186</v>
      </c>
      <c r="M1" s="6" t="s">
        <v>187</v>
      </c>
    </row>
    <row r="2" customFormat="false" ht="15" hidden="false" customHeight="false" outlineLevel="0" collapsed="false">
      <c r="A2" s="7" t="s">
        <v>188</v>
      </c>
      <c r="B2" s="7" t="s">
        <v>54</v>
      </c>
      <c r="C2" s="7" t="s">
        <v>189</v>
      </c>
      <c r="D2" s="7" t="s">
        <v>65</v>
      </c>
      <c r="E2" s="7" t="s">
        <v>190</v>
      </c>
      <c r="F2" s="7" t="s">
        <v>191</v>
      </c>
      <c r="G2" s="7" t="s">
        <v>192</v>
      </c>
      <c r="H2" s="7" t="s">
        <v>193</v>
      </c>
      <c r="I2" s="7" t="s">
        <v>194</v>
      </c>
      <c r="J2" s="7"/>
      <c r="K2" s="7"/>
      <c r="L2" s="7"/>
      <c r="M2" s="7"/>
    </row>
    <row r="3" customFormat="false" ht="15" hidden="false" customHeight="false" outlineLevel="0" collapsed="false">
      <c r="A3" s="7" t="s">
        <v>188</v>
      </c>
      <c r="B3" s="7" t="s">
        <v>54</v>
      </c>
      <c r="C3" s="7" t="s">
        <v>189</v>
      </c>
      <c r="D3" s="7" t="s">
        <v>65</v>
      </c>
      <c r="E3" s="7" t="s">
        <v>190</v>
      </c>
      <c r="F3" s="7" t="s">
        <v>195</v>
      </c>
      <c r="G3" s="7" t="s">
        <v>196</v>
      </c>
      <c r="H3" s="7" t="s">
        <v>193</v>
      </c>
      <c r="I3" s="7" t="s">
        <v>194</v>
      </c>
      <c r="J3" s="7"/>
      <c r="K3" s="7"/>
      <c r="L3" s="7"/>
      <c r="M3" s="7"/>
    </row>
    <row r="4" customFormat="false" ht="15" hidden="false" customHeight="false" outlineLevel="0" collapsed="false">
      <c r="A4" s="7" t="s">
        <v>188</v>
      </c>
      <c r="B4" s="7" t="s">
        <v>54</v>
      </c>
      <c r="C4" s="7" t="s">
        <v>189</v>
      </c>
      <c r="D4" s="7" t="s">
        <v>65</v>
      </c>
      <c r="E4" s="7" t="s">
        <v>190</v>
      </c>
      <c r="F4" s="7" t="s">
        <v>197</v>
      </c>
      <c r="G4" s="7" t="s">
        <v>58</v>
      </c>
      <c r="H4" s="7" t="s">
        <v>193</v>
      </c>
      <c r="I4" s="7" t="s">
        <v>194</v>
      </c>
      <c r="J4" s="7" t="n">
        <v>1</v>
      </c>
      <c r="K4" s="7" t="s">
        <v>198</v>
      </c>
      <c r="L4" s="7"/>
      <c r="M4" s="7"/>
    </row>
    <row r="5" customFormat="false" ht="15" hidden="false" customHeight="false" outlineLevel="0" collapsed="false">
      <c r="A5" s="7" t="s">
        <v>188</v>
      </c>
      <c r="B5" s="7" t="s">
        <v>54</v>
      </c>
      <c r="C5" s="7" t="s">
        <v>189</v>
      </c>
      <c r="D5" s="7" t="s">
        <v>65</v>
      </c>
      <c r="E5" s="7" t="s">
        <v>190</v>
      </c>
      <c r="F5" s="7" t="s">
        <v>199</v>
      </c>
      <c r="G5" s="7" t="s">
        <v>56</v>
      </c>
      <c r="H5" s="7" t="s">
        <v>193</v>
      </c>
      <c r="I5" s="7" t="s">
        <v>194</v>
      </c>
      <c r="J5" s="7" t="n">
        <v>1</v>
      </c>
      <c r="K5" s="7" t="s">
        <v>198</v>
      </c>
      <c r="L5" s="7"/>
      <c r="M5" s="7"/>
    </row>
    <row r="6" customFormat="false" ht="15" hidden="false" customHeight="false" outlineLevel="0" collapsed="false">
      <c r="A6" s="7" t="s">
        <v>188</v>
      </c>
      <c r="B6" s="7" t="s">
        <v>54</v>
      </c>
      <c r="C6" s="7" t="s">
        <v>189</v>
      </c>
      <c r="D6" s="7" t="s">
        <v>65</v>
      </c>
      <c r="E6" s="7" t="s">
        <v>190</v>
      </c>
      <c r="F6" s="7" t="s">
        <v>200</v>
      </c>
      <c r="G6" s="7" t="s">
        <v>60</v>
      </c>
      <c r="H6" s="7" t="s">
        <v>193</v>
      </c>
      <c r="I6" s="7" t="s">
        <v>194</v>
      </c>
      <c r="J6" s="7"/>
      <c r="K6" s="7"/>
      <c r="L6" s="7"/>
      <c r="M6" s="7"/>
    </row>
    <row r="7" customFormat="false" ht="15" hidden="false" customHeight="false" outlineLevel="0" collapsed="false">
      <c r="A7" s="7" t="s">
        <v>188</v>
      </c>
      <c r="B7" s="7" t="s">
        <v>54</v>
      </c>
      <c r="C7" s="7" t="s">
        <v>189</v>
      </c>
      <c r="D7" s="7" t="s">
        <v>65</v>
      </c>
      <c r="E7" s="7" t="s">
        <v>190</v>
      </c>
      <c r="F7" s="7" t="s">
        <v>201</v>
      </c>
      <c r="G7" s="7" t="s">
        <v>59</v>
      </c>
      <c r="H7" s="7" t="s">
        <v>193</v>
      </c>
      <c r="I7" s="7" t="s">
        <v>194</v>
      </c>
      <c r="J7" s="7" t="n">
        <v>1</v>
      </c>
      <c r="K7" s="7" t="s">
        <v>198</v>
      </c>
      <c r="L7" s="7"/>
      <c r="M7" s="7"/>
    </row>
    <row r="8" customFormat="false" ht="15" hidden="false" customHeight="false" outlineLevel="0" collapsed="false">
      <c r="A8" s="7" t="s">
        <v>188</v>
      </c>
      <c r="B8" s="7" t="s">
        <v>54</v>
      </c>
      <c r="C8" s="7" t="s">
        <v>189</v>
      </c>
      <c r="D8" s="7" t="s">
        <v>65</v>
      </c>
      <c r="E8" s="7" t="s">
        <v>190</v>
      </c>
      <c r="F8" s="7" t="s">
        <v>202</v>
      </c>
      <c r="G8" s="7" t="s">
        <v>203</v>
      </c>
      <c r="H8" s="7" t="s">
        <v>193</v>
      </c>
      <c r="I8" s="7" t="s">
        <v>194</v>
      </c>
      <c r="J8" s="7"/>
      <c r="K8" s="7" t="s">
        <v>204</v>
      </c>
      <c r="L8" s="7"/>
      <c r="M8" s="7"/>
    </row>
    <row r="9" customFormat="false" ht="23.85" hidden="false" customHeight="false" outlineLevel="0" collapsed="false">
      <c r="A9" s="7" t="s">
        <v>188</v>
      </c>
      <c r="B9" s="7" t="s">
        <v>54</v>
      </c>
      <c r="C9" s="7" t="s">
        <v>189</v>
      </c>
      <c r="D9" s="7" t="s">
        <v>65</v>
      </c>
      <c r="E9" s="7" t="s">
        <v>190</v>
      </c>
      <c r="F9" s="7" t="s">
        <v>205</v>
      </c>
      <c r="G9" s="7" t="s">
        <v>206</v>
      </c>
      <c r="H9" s="7" t="s">
        <v>193</v>
      </c>
      <c r="I9" s="7" t="s">
        <v>194</v>
      </c>
      <c r="J9" s="7" t="n">
        <v>1</v>
      </c>
      <c r="K9" s="7" t="s">
        <v>207</v>
      </c>
      <c r="L9" s="7" t="s">
        <v>56</v>
      </c>
      <c r="M9" s="7" t="s">
        <v>208</v>
      </c>
    </row>
    <row r="10" customFormat="false" ht="23.85" hidden="false" customHeight="false" outlineLevel="0" collapsed="false">
      <c r="A10" s="7" t="s">
        <v>188</v>
      </c>
      <c r="B10" s="7" t="s">
        <v>54</v>
      </c>
      <c r="C10" s="7" t="s">
        <v>189</v>
      </c>
      <c r="D10" s="7" t="s">
        <v>65</v>
      </c>
      <c r="E10" s="7" t="s">
        <v>190</v>
      </c>
      <c r="F10" s="7" t="s">
        <v>209</v>
      </c>
      <c r="G10" s="7" t="s">
        <v>210</v>
      </c>
      <c r="H10" s="7" t="s">
        <v>193</v>
      </c>
      <c r="I10" s="7" t="s">
        <v>194</v>
      </c>
      <c r="J10" s="7" t="n">
        <v>1</v>
      </c>
      <c r="K10" s="7" t="s">
        <v>211</v>
      </c>
      <c r="L10" s="7" t="s">
        <v>212</v>
      </c>
      <c r="M10" s="7"/>
    </row>
    <row r="11" customFormat="false" ht="23.85" hidden="false" customHeight="false" outlineLevel="0" collapsed="false">
      <c r="A11" s="7" t="s">
        <v>188</v>
      </c>
      <c r="B11" s="7" t="s">
        <v>54</v>
      </c>
      <c r="C11" s="7" t="s">
        <v>189</v>
      </c>
      <c r="D11" s="7" t="s">
        <v>65</v>
      </c>
      <c r="E11" s="7" t="s">
        <v>190</v>
      </c>
      <c r="F11" s="7" t="s">
        <v>213</v>
      </c>
      <c r="G11" s="7" t="s">
        <v>214</v>
      </c>
      <c r="H11" s="7" t="s">
        <v>193</v>
      </c>
      <c r="I11" s="7" t="s">
        <v>194</v>
      </c>
      <c r="J11" s="7" t="n">
        <v>1</v>
      </c>
      <c r="K11" s="7" t="s">
        <v>211</v>
      </c>
      <c r="L11" s="7" t="s">
        <v>212</v>
      </c>
      <c r="M11" s="7"/>
    </row>
    <row r="12" customFormat="false" ht="23.85" hidden="false" customHeight="false" outlineLevel="0" collapsed="false">
      <c r="A12" s="7" t="s">
        <v>188</v>
      </c>
      <c r="B12" s="7" t="s">
        <v>54</v>
      </c>
      <c r="C12" s="7" t="s">
        <v>189</v>
      </c>
      <c r="D12" s="7" t="s">
        <v>65</v>
      </c>
      <c r="E12" s="7" t="s">
        <v>190</v>
      </c>
      <c r="F12" s="11" t="s">
        <v>215</v>
      </c>
      <c r="G12" s="7" t="s">
        <v>216</v>
      </c>
      <c r="H12" s="7" t="s">
        <v>193</v>
      </c>
      <c r="I12" s="7" t="s">
        <v>194</v>
      </c>
      <c r="J12" s="7" t="n">
        <v>1</v>
      </c>
      <c r="K12" s="7" t="s">
        <v>211</v>
      </c>
      <c r="L12" s="7" t="s">
        <v>212</v>
      </c>
      <c r="M12" s="7"/>
    </row>
    <row r="13" customFormat="false" ht="35.05" hidden="false" customHeight="false" outlineLevel="0" collapsed="false">
      <c r="A13" s="7" t="s">
        <v>188</v>
      </c>
      <c r="B13" s="7" t="s">
        <v>54</v>
      </c>
      <c r="C13" s="7" t="s">
        <v>189</v>
      </c>
      <c r="D13" s="7" t="s">
        <v>65</v>
      </c>
      <c r="E13" s="7" t="s">
        <v>190</v>
      </c>
      <c r="F13" s="11" t="s">
        <v>217</v>
      </c>
      <c r="G13" s="7" t="s">
        <v>63</v>
      </c>
      <c r="H13" s="7" t="s">
        <v>193</v>
      </c>
      <c r="I13" s="7" t="s">
        <v>194</v>
      </c>
      <c r="J13" s="7" t="n">
        <v>1</v>
      </c>
      <c r="K13" s="7" t="s">
        <v>211</v>
      </c>
      <c r="L13" s="7" t="s">
        <v>218</v>
      </c>
      <c r="M13" s="7"/>
    </row>
    <row r="14" customFormat="false" ht="35.05" hidden="false" customHeight="false" outlineLevel="0" collapsed="false">
      <c r="A14" s="7" t="s">
        <v>188</v>
      </c>
      <c r="B14" s="7" t="s">
        <v>54</v>
      </c>
      <c r="C14" s="7" t="s">
        <v>189</v>
      </c>
      <c r="D14" s="7" t="s">
        <v>65</v>
      </c>
      <c r="E14" s="7" t="s">
        <v>190</v>
      </c>
      <c r="F14" s="7" t="s">
        <v>219</v>
      </c>
      <c r="G14" s="7" t="s">
        <v>220</v>
      </c>
      <c r="H14" s="7" t="s">
        <v>193</v>
      </c>
      <c r="I14" s="7" t="s">
        <v>194</v>
      </c>
      <c r="J14" s="7" t="n">
        <v>1</v>
      </c>
      <c r="K14" s="7" t="s">
        <v>211</v>
      </c>
      <c r="L14" s="7" t="s">
        <v>218</v>
      </c>
      <c r="M14" s="7"/>
    </row>
    <row r="15" customFormat="false" ht="23.85" hidden="false" customHeight="false" outlineLevel="0" collapsed="false">
      <c r="A15" s="7" t="s">
        <v>188</v>
      </c>
      <c r="B15" s="7" t="s">
        <v>54</v>
      </c>
      <c r="C15" s="7" t="s">
        <v>189</v>
      </c>
      <c r="D15" s="7" t="s">
        <v>65</v>
      </c>
      <c r="E15" s="7" t="s">
        <v>190</v>
      </c>
      <c r="F15" s="11" t="s">
        <v>221</v>
      </c>
      <c r="G15" s="7" t="s">
        <v>222</v>
      </c>
      <c r="H15" s="7" t="s">
        <v>193</v>
      </c>
      <c r="I15" s="7" t="s">
        <v>194</v>
      </c>
      <c r="J15" s="7" t="n">
        <v>1</v>
      </c>
      <c r="K15" s="7" t="s">
        <v>223</v>
      </c>
      <c r="L15" s="7" t="s">
        <v>224</v>
      </c>
      <c r="M15" s="7"/>
    </row>
    <row r="16" customFormat="false" ht="35.05" hidden="false" customHeight="false" outlineLevel="0" collapsed="false">
      <c r="A16" s="7" t="s">
        <v>188</v>
      </c>
      <c r="B16" s="7" t="s">
        <v>54</v>
      </c>
      <c r="C16" s="7" t="s">
        <v>189</v>
      </c>
      <c r="D16" s="7" t="s">
        <v>65</v>
      </c>
      <c r="E16" s="7" t="s">
        <v>190</v>
      </c>
      <c r="F16" s="7" t="s">
        <v>225</v>
      </c>
      <c r="G16" s="7" t="s">
        <v>226</v>
      </c>
      <c r="H16" s="7" t="s">
        <v>193</v>
      </c>
      <c r="I16" s="7" t="s">
        <v>194</v>
      </c>
      <c r="J16" s="7" t="n">
        <v>1</v>
      </c>
      <c r="K16" s="7" t="s">
        <v>227</v>
      </c>
      <c r="L16" s="7" t="s">
        <v>228</v>
      </c>
      <c r="M16" s="7"/>
    </row>
    <row r="17" customFormat="false" ht="23.85" hidden="false" customHeight="false" outlineLevel="0" collapsed="false">
      <c r="A17" s="7" t="s">
        <v>188</v>
      </c>
      <c r="B17" s="7" t="s">
        <v>54</v>
      </c>
      <c r="C17" s="7" t="s">
        <v>189</v>
      </c>
      <c r="D17" s="7" t="s">
        <v>65</v>
      </c>
      <c r="E17" s="7" t="s">
        <v>190</v>
      </c>
      <c r="F17" s="11" t="s">
        <v>229</v>
      </c>
      <c r="G17" s="7" t="s">
        <v>230</v>
      </c>
      <c r="H17" s="7" t="s">
        <v>193</v>
      </c>
      <c r="I17" s="7" t="s">
        <v>194</v>
      </c>
      <c r="J17" s="7" t="n">
        <v>1</v>
      </c>
      <c r="K17" s="7" t="s">
        <v>231</v>
      </c>
      <c r="L17" s="7" t="s">
        <v>232</v>
      </c>
      <c r="M17" s="7"/>
    </row>
    <row r="18" customFormat="false" ht="15" hidden="false" customHeight="false" outlineLevel="0" collapsed="false">
      <c r="A18" s="7" t="s">
        <v>188</v>
      </c>
      <c r="B18" s="7" t="s">
        <v>54</v>
      </c>
      <c r="C18" s="7" t="s">
        <v>189</v>
      </c>
      <c r="D18" s="7" t="s">
        <v>65</v>
      </c>
      <c r="E18" s="7" t="s">
        <v>190</v>
      </c>
      <c r="F18" s="7" t="s">
        <v>233</v>
      </c>
      <c r="G18" s="7" t="s">
        <v>70</v>
      </c>
      <c r="H18" s="7" t="s">
        <v>193</v>
      </c>
      <c r="I18" s="7" t="s">
        <v>194</v>
      </c>
      <c r="J18" s="7" t="n">
        <v>1</v>
      </c>
      <c r="K18" s="7" t="s">
        <v>231</v>
      </c>
      <c r="L18" s="7" t="s">
        <v>234</v>
      </c>
      <c r="M18" s="7"/>
    </row>
    <row r="19" customFormat="false" ht="32.8" hidden="false" customHeight="false" outlineLevel="0" collapsed="false">
      <c r="A19" s="12" t="s">
        <v>188</v>
      </c>
      <c r="B19" s="12" t="s">
        <v>54</v>
      </c>
      <c r="C19" s="12" t="s">
        <v>189</v>
      </c>
      <c r="D19" s="12" t="s">
        <v>65</v>
      </c>
      <c r="E19" s="12" t="s">
        <v>190</v>
      </c>
      <c r="F19" s="12" t="s">
        <v>235</v>
      </c>
      <c r="G19" s="12" t="s">
        <v>236</v>
      </c>
      <c r="H19" s="12" t="s">
        <v>237</v>
      </c>
      <c r="I19" s="12" t="s">
        <v>237</v>
      </c>
      <c r="J19" s="12"/>
      <c r="K19" s="12"/>
      <c r="L19" s="12"/>
      <c r="M19" s="12" t="s">
        <v>238</v>
      </c>
    </row>
    <row r="20" customFormat="false" ht="15" hidden="false" customHeight="false" outlineLevel="0" collapsed="false">
      <c r="A20" s="7" t="s">
        <v>239</v>
      </c>
      <c r="B20" s="7" t="s">
        <v>54</v>
      </c>
      <c r="C20" s="7" t="s">
        <v>240</v>
      </c>
      <c r="D20" s="7" t="s">
        <v>65</v>
      </c>
      <c r="E20" s="7" t="s">
        <v>190</v>
      </c>
      <c r="F20" s="7" t="s">
        <v>191</v>
      </c>
      <c r="G20" s="7" t="s">
        <v>241</v>
      </c>
      <c r="H20" s="7" t="s">
        <v>193</v>
      </c>
      <c r="I20" s="7" t="s">
        <v>194</v>
      </c>
      <c r="J20" s="7"/>
      <c r="K20" s="7"/>
      <c r="L20" s="7"/>
      <c r="M20" s="7"/>
    </row>
    <row r="21" customFormat="false" ht="15" hidden="false" customHeight="false" outlineLevel="0" collapsed="false">
      <c r="A21" s="7" t="s">
        <v>239</v>
      </c>
      <c r="B21" s="7" t="s">
        <v>54</v>
      </c>
      <c r="C21" s="7" t="s">
        <v>240</v>
      </c>
      <c r="D21" s="7" t="s">
        <v>65</v>
      </c>
      <c r="E21" s="7" t="s">
        <v>190</v>
      </c>
      <c r="F21" s="7" t="s">
        <v>195</v>
      </c>
      <c r="G21" s="7" t="s">
        <v>196</v>
      </c>
      <c r="H21" s="7" t="s">
        <v>193</v>
      </c>
      <c r="I21" s="7" t="s">
        <v>194</v>
      </c>
      <c r="J21" s="7"/>
      <c r="K21" s="7"/>
      <c r="L21" s="7"/>
      <c r="M21" s="7"/>
    </row>
    <row r="22" customFormat="false" ht="15" hidden="false" customHeight="false" outlineLevel="0" collapsed="false">
      <c r="A22" s="7" t="s">
        <v>239</v>
      </c>
      <c r="B22" s="7" t="s">
        <v>54</v>
      </c>
      <c r="C22" s="7" t="s">
        <v>240</v>
      </c>
      <c r="D22" s="7" t="s">
        <v>65</v>
      </c>
      <c r="E22" s="7" t="s">
        <v>190</v>
      </c>
      <c r="F22" s="7" t="s">
        <v>197</v>
      </c>
      <c r="G22" s="7" t="s">
        <v>58</v>
      </c>
      <c r="H22" s="7" t="s">
        <v>193</v>
      </c>
      <c r="I22" s="7" t="s">
        <v>194</v>
      </c>
      <c r="J22" s="7" t="n">
        <v>1</v>
      </c>
      <c r="K22" s="7" t="s">
        <v>198</v>
      </c>
      <c r="L22" s="7"/>
      <c r="M22" s="7"/>
    </row>
    <row r="23" customFormat="false" ht="15" hidden="false" customHeight="false" outlineLevel="0" collapsed="false">
      <c r="A23" s="7" t="s">
        <v>239</v>
      </c>
      <c r="B23" s="7" t="s">
        <v>54</v>
      </c>
      <c r="C23" s="7" t="s">
        <v>240</v>
      </c>
      <c r="D23" s="7" t="s">
        <v>65</v>
      </c>
      <c r="E23" s="7" t="s">
        <v>190</v>
      </c>
      <c r="F23" s="7" t="s">
        <v>199</v>
      </c>
      <c r="G23" s="7" t="s">
        <v>56</v>
      </c>
      <c r="H23" s="7" t="s">
        <v>193</v>
      </c>
      <c r="I23" s="7" t="s">
        <v>194</v>
      </c>
      <c r="J23" s="7" t="n">
        <v>1</v>
      </c>
      <c r="K23" s="7" t="s">
        <v>198</v>
      </c>
      <c r="L23" s="7"/>
      <c r="M23" s="7"/>
    </row>
    <row r="24" customFormat="false" ht="15" hidden="false" customHeight="false" outlineLevel="0" collapsed="false">
      <c r="A24" s="7" t="s">
        <v>239</v>
      </c>
      <c r="B24" s="7" t="s">
        <v>54</v>
      </c>
      <c r="C24" s="7" t="s">
        <v>240</v>
      </c>
      <c r="D24" s="7" t="s">
        <v>65</v>
      </c>
      <c r="E24" s="7" t="s">
        <v>190</v>
      </c>
      <c r="F24" s="7" t="s">
        <v>200</v>
      </c>
      <c r="G24" s="7" t="s">
        <v>242</v>
      </c>
      <c r="H24" s="7" t="s">
        <v>193</v>
      </c>
      <c r="I24" s="7" t="s">
        <v>194</v>
      </c>
      <c r="J24" s="7"/>
      <c r="K24" s="7"/>
      <c r="L24" s="7"/>
      <c r="M24" s="7"/>
    </row>
    <row r="25" customFormat="false" ht="15" hidden="false" customHeight="false" outlineLevel="0" collapsed="false">
      <c r="A25" s="7" t="s">
        <v>239</v>
      </c>
      <c r="B25" s="7" t="s">
        <v>54</v>
      </c>
      <c r="C25" s="7" t="s">
        <v>240</v>
      </c>
      <c r="D25" s="7" t="s">
        <v>65</v>
      </c>
      <c r="E25" s="7" t="s">
        <v>190</v>
      </c>
      <c r="F25" s="7" t="s">
        <v>201</v>
      </c>
      <c r="G25" s="7" t="s">
        <v>243</v>
      </c>
      <c r="H25" s="7" t="s">
        <v>193</v>
      </c>
      <c r="I25" s="7" t="s">
        <v>194</v>
      </c>
      <c r="J25" s="7" t="n">
        <v>1</v>
      </c>
      <c r="K25" s="7" t="s">
        <v>198</v>
      </c>
      <c r="L25" s="7"/>
      <c r="M25" s="7"/>
    </row>
    <row r="26" customFormat="false" ht="15" hidden="false" customHeight="false" outlineLevel="0" collapsed="false">
      <c r="A26" s="7" t="s">
        <v>239</v>
      </c>
      <c r="B26" s="7" t="s">
        <v>54</v>
      </c>
      <c r="C26" s="7" t="s">
        <v>240</v>
      </c>
      <c r="D26" s="7" t="s">
        <v>65</v>
      </c>
      <c r="E26" s="7" t="s">
        <v>190</v>
      </c>
      <c r="F26" s="7" t="s">
        <v>202</v>
      </c>
      <c r="G26" s="7" t="s">
        <v>203</v>
      </c>
      <c r="H26" s="7" t="s">
        <v>193</v>
      </c>
      <c r="I26" s="7" t="s">
        <v>65</v>
      </c>
      <c r="J26" s="7"/>
      <c r="K26" s="7"/>
      <c r="L26" s="7"/>
      <c r="M26" s="7" t="s">
        <v>244</v>
      </c>
    </row>
    <row r="27" customFormat="false" ht="15" hidden="false" customHeight="false" outlineLevel="0" collapsed="false">
      <c r="A27" s="7" t="s">
        <v>239</v>
      </c>
      <c r="B27" s="7" t="s">
        <v>54</v>
      </c>
      <c r="C27" s="7" t="s">
        <v>240</v>
      </c>
      <c r="D27" s="7" t="s">
        <v>65</v>
      </c>
      <c r="E27" s="7" t="s">
        <v>190</v>
      </c>
      <c r="F27" s="7" t="s">
        <v>205</v>
      </c>
      <c r="G27" s="7" t="s">
        <v>245</v>
      </c>
      <c r="H27" s="7" t="s">
        <v>193</v>
      </c>
      <c r="I27" s="7" t="s">
        <v>194</v>
      </c>
      <c r="J27" s="7" t="n">
        <v>1</v>
      </c>
      <c r="K27" s="7" t="s">
        <v>207</v>
      </c>
      <c r="L27" s="7"/>
      <c r="M27" s="7"/>
    </row>
    <row r="28" customFormat="false" ht="35.05" hidden="false" customHeight="false" outlineLevel="0" collapsed="false">
      <c r="A28" s="7" t="s">
        <v>239</v>
      </c>
      <c r="B28" s="7" t="s">
        <v>54</v>
      </c>
      <c r="C28" s="7" t="s">
        <v>240</v>
      </c>
      <c r="D28" s="7" t="s">
        <v>65</v>
      </c>
      <c r="E28" s="7" t="s">
        <v>190</v>
      </c>
      <c r="F28" s="7" t="s">
        <v>209</v>
      </c>
      <c r="G28" s="7" t="s">
        <v>75</v>
      </c>
      <c r="H28" s="7" t="s">
        <v>193</v>
      </c>
      <c r="I28" s="7" t="s">
        <v>194</v>
      </c>
      <c r="J28" s="7" t="n">
        <v>1</v>
      </c>
      <c r="K28" s="7" t="s">
        <v>204</v>
      </c>
      <c r="L28" s="7" t="s">
        <v>246</v>
      </c>
      <c r="M28" s="7"/>
    </row>
    <row r="29" customFormat="false" ht="15" hidden="false" customHeight="false" outlineLevel="0" collapsed="false">
      <c r="A29" s="7" t="s">
        <v>239</v>
      </c>
      <c r="B29" s="7" t="s">
        <v>54</v>
      </c>
      <c r="C29" s="7" t="s">
        <v>240</v>
      </c>
      <c r="D29" s="7" t="s">
        <v>65</v>
      </c>
      <c r="E29" s="7" t="s">
        <v>190</v>
      </c>
      <c r="F29" s="13" t="s">
        <v>213</v>
      </c>
      <c r="G29" s="13"/>
      <c r="H29" s="13" t="s">
        <v>247</v>
      </c>
      <c r="I29" s="7" t="s">
        <v>194</v>
      </c>
      <c r="J29" s="7"/>
      <c r="K29" s="7"/>
      <c r="L29" s="7"/>
      <c r="M29" s="7" t="s">
        <v>248</v>
      </c>
    </row>
    <row r="30" customFormat="false" ht="15" hidden="false" customHeight="false" outlineLevel="0" collapsed="false">
      <c r="A30" s="7" t="s">
        <v>239</v>
      </c>
      <c r="B30" s="7" t="s">
        <v>54</v>
      </c>
      <c r="C30" s="7" t="s">
        <v>240</v>
      </c>
      <c r="D30" s="7" t="s">
        <v>65</v>
      </c>
      <c r="E30" s="7" t="s">
        <v>190</v>
      </c>
      <c r="F30" s="14" t="s">
        <v>215</v>
      </c>
      <c r="G30" s="13"/>
      <c r="H30" s="13" t="s">
        <v>247</v>
      </c>
      <c r="I30" s="7" t="s">
        <v>194</v>
      </c>
      <c r="J30" s="7"/>
      <c r="K30" s="7"/>
      <c r="L30" s="7"/>
      <c r="M30" s="7" t="s">
        <v>248</v>
      </c>
    </row>
    <row r="31" customFormat="false" ht="15" hidden="false" customHeight="false" outlineLevel="0" collapsed="false">
      <c r="A31" s="7" t="s">
        <v>239</v>
      </c>
      <c r="B31" s="7" t="s">
        <v>54</v>
      </c>
      <c r="C31" s="7" t="s">
        <v>240</v>
      </c>
      <c r="D31" s="7" t="s">
        <v>65</v>
      </c>
      <c r="E31" s="7" t="s">
        <v>190</v>
      </c>
      <c r="F31" s="14" t="s">
        <v>217</v>
      </c>
      <c r="G31" s="13"/>
      <c r="H31" s="13" t="s">
        <v>247</v>
      </c>
      <c r="I31" s="7" t="s">
        <v>194</v>
      </c>
      <c r="J31" s="7"/>
      <c r="K31" s="7"/>
      <c r="L31" s="7"/>
      <c r="M31" s="7" t="s">
        <v>249</v>
      </c>
    </row>
    <row r="32" customFormat="false" ht="15" hidden="false" customHeight="false" outlineLevel="0" collapsed="false">
      <c r="A32" s="7" t="s">
        <v>239</v>
      </c>
      <c r="B32" s="7" t="s">
        <v>54</v>
      </c>
      <c r="C32" s="7" t="s">
        <v>240</v>
      </c>
      <c r="D32" s="7" t="s">
        <v>65</v>
      </c>
      <c r="E32" s="7" t="s">
        <v>190</v>
      </c>
      <c r="F32" s="13" t="s">
        <v>219</v>
      </c>
      <c r="G32" s="13"/>
      <c r="H32" s="13" t="s">
        <v>247</v>
      </c>
      <c r="I32" s="7" t="s">
        <v>194</v>
      </c>
      <c r="J32" s="7"/>
      <c r="K32" s="7"/>
      <c r="L32" s="7"/>
      <c r="M32" s="7"/>
    </row>
    <row r="33" customFormat="false" ht="23.85" hidden="false" customHeight="false" outlineLevel="0" collapsed="false">
      <c r="A33" s="7" t="s">
        <v>239</v>
      </c>
      <c r="B33" s="7" t="s">
        <v>54</v>
      </c>
      <c r="C33" s="7" t="s">
        <v>240</v>
      </c>
      <c r="D33" s="7" t="s">
        <v>65</v>
      </c>
      <c r="E33" s="7" t="s">
        <v>190</v>
      </c>
      <c r="F33" s="14" t="s">
        <v>221</v>
      </c>
      <c r="G33" s="13"/>
      <c r="H33" s="13" t="s">
        <v>247</v>
      </c>
      <c r="I33" s="7" t="s">
        <v>194</v>
      </c>
      <c r="J33" s="7"/>
      <c r="K33" s="7"/>
      <c r="L33" s="7"/>
      <c r="M33" s="7" t="s">
        <v>250</v>
      </c>
    </row>
    <row r="34" customFormat="false" ht="15" hidden="false" customHeight="false" outlineLevel="0" collapsed="false">
      <c r="A34" s="7" t="s">
        <v>239</v>
      </c>
      <c r="B34" s="7" t="s">
        <v>54</v>
      </c>
      <c r="C34" s="7" t="s">
        <v>240</v>
      </c>
      <c r="D34" s="7" t="s">
        <v>65</v>
      </c>
      <c r="E34" s="7" t="s">
        <v>190</v>
      </c>
      <c r="F34" s="13" t="s">
        <v>225</v>
      </c>
      <c r="G34" s="13"/>
      <c r="H34" s="13" t="s">
        <v>247</v>
      </c>
      <c r="I34" s="7" t="s">
        <v>194</v>
      </c>
      <c r="J34" s="7"/>
      <c r="K34" s="7"/>
      <c r="L34" s="7"/>
      <c r="M34" s="7"/>
    </row>
    <row r="35" customFormat="false" ht="23.85" hidden="false" customHeight="false" outlineLevel="0" collapsed="false">
      <c r="A35" s="7" t="s">
        <v>239</v>
      </c>
      <c r="B35" s="7" t="s">
        <v>54</v>
      </c>
      <c r="C35" s="7" t="s">
        <v>240</v>
      </c>
      <c r="D35" s="7" t="s">
        <v>65</v>
      </c>
      <c r="E35" s="7" t="s">
        <v>190</v>
      </c>
      <c r="F35" s="11" t="s">
        <v>229</v>
      </c>
      <c r="G35" s="7" t="s">
        <v>251</v>
      </c>
      <c r="H35" s="7" t="s">
        <v>193</v>
      </c>
      <c r="I35" s="7" t="s">
        <v>194</v>
      </c>
      <c r="J35" s="7" t="n">
        <v>1</v>
      </c>
      <c r="K35" s="7" t="s">
        <v>204</v>
      </c>
      <c r="L35" s="7" t="s">
        <v>252</v>
      </c>
      <c r="M35" s="7"/>
    </row>
    <row r="36" customFormat="false" ht="15" hidden="false" customHeight="false" outlineLevel="0" collapsed="false">
      <c r="A36" s="7" t="s">
        <v>239</v>
      </c>
      <c r="B36" s="7" t="s">
        <v>54</v>
      </c>
      <c r="C36" s="7" t="s">
        <v>240</v>
      </c>
      <c r="D36" s="7" t="s">
        <v>65</v>
      </c>
      <c r="E36" s="7" t="s">
        <v>190</v>
      </c>
      <c r="F36" s="13" t="s">
        <v>233</v>
      </c>
      <c r="G36" s="13"/>
      <c r="H36" s="13" t="s">
        <v>247</v>
      </c>
      <c r="I36" s="7" t="s">
        <v>194</v>
      </c>
      <c r="J36" s="7"/>
      <c r="K36" s="7"/>
      <c r="L36" s="7"/>
      <c r="M36" s="7" t="s">
        <v>253</v>
      </c>
    </row>
    <row r="37" customFormat="false" ht="32.8" hidden="false" customHeight="false" outlineLevel="0" collapsed="false">
      <c r="A37" s="12" t="s">
        <v>239</v>
      </c>
      <c r="B37" s="12" t="s">
        <v>54</v>
      </c>
      <c r="C37" s="12" t="s">
        <v>240</v>
      </c>
      <c r="D37" s="12" t="s">
        <v>65</v>
      </c>
      <c r="E37" s="12" t="s">
        <v>190</v>
      </c>
      <c r="F37" s="12" t="s">
        <v>235</v>
      </c>
      <c r="G37" s="12" t="s">
        <v>236</v>
      </c>
      <c r="H37" s="12" t="s">
        <v>237</v>
      </c>
      <c r="I37" s="12" t="s">
        <v>237</v>
      </c>
      <c r="J37" s="12"/>
      <c r="K37" s="12"/>
      <c r="L37" s="12"/>
      <c r="M37" s="12" t="s">
        <v>238</v>
      </c>
    </row>
    <row r="38" customFormat="false" ht="23.85" hidden="false" customHeight="false" outlineLevel="0" collapsed="false">
      <c r="A38" s="7" t="s">
        <v>254</v>
      </c>
      <c r="B38" s="7" t="s">
        <v>77</v>
      </c>
      <c r="C38" s="7" t="s">
        <v>255</v>
      </c>
      <c r="D38" s="7" t="s">
        <v>83</v>
      </c>
      <c r="E38" s="7" t="s">
        <v>190</v>
      </c>
      <c r="F38" s="7" t="s">
        <v>191</v>
      </c>
      <c r="G38" s="7" t="s">
        <v>192</v>
      </c>
      <c r="H38" s="7" t="s">
        <v>193</v>
      </c>
      <c r="I38" s="7" t="s">
        <v>194</v>
      </c>
      <c r="J38" s="7"/>
      <c r="K38" s="7"/>
      <c r="L38" s="7"/>
      <c r="M38" s="7"/>
    </row>
    <row r="39" customFormat="false" ht="23.85" hidden="false" customHeight="false" outlineLevel="0" collapsed="false">
      <c r="A39" s="7" t="s">
        <v>254</v>
      </c>
      <c r="B39" s="7" t="s">
        <v>77</v>
      </c>
      <c r="C39" s="7" t="s">
        <v>255</v>
      </c>
      <c r="D39" s="7" t="s">
        <v>83</v>
      </c>
      <c r="E39" s="7" t="s">
        <v>190</v>
      </c>
      <c r="F39" s="7" t="s">
        <v>195</v>
      </c>
      <c r="G39" s="7" t="s">
        <v>256</v>
      </c>
      <c r="H39" s="7" t="s">
        <v>193</v>
      </c>
      <c r="I39" s="7" t="s">
        <v>194</v>
      </c>
      <c r="J39" s="7"/>
      <c r="K39" s="7"/>
      <c r="L39" s="7"/>
      <c r="M39" s="7"/>
    </row>
    <row r="40" customFormat="false" ht="23.85" hidden="false" customHeight="false" outlineLevel="0" collapsed="false">
      <c r="A40" s="7" t="s">
        <v>254</v>
      </c>
      <c r="B40" s="7" t="s">
        <v>77</v>
      </c>
      <c r="C40" s="7" t="s">
        <v>255</v>
      </c>
      <c r="D40" s="7" t="s">
        <v>83</v>
      </c>
      <c r="E40" s="7" t="s">
        <v>190</v>
      </c>
      <c r="F40" s="7" t="s">
        <v>197</v>
      </c>
      <c r="G40" s="7" t="s">
        <v>78</v>
      </c>
      <c r="H40" s="7" t="s">
        <v>193</v>
      </c>
      <c r="I40" s="7" t="s">
        <v>194</v>
      </c>
      <c r="J40" s="7" t="n">
        <v>1</v>
      </c>
      <c r="K40" s="7" t="s">
        <v>257</v>
      </c>
      <c r="L40" s="7"/>
      <c r="M40" s="7" t="s">
        <v>258</v>
      </c>
    </row>
    <row r="41" customFormat="false" ht="23.85" hidden="false" customHeight="false" outlineLevel="0" collapsed="false">
      <c r="A41" s="7" t="s">
        <v>254</v>
      </c>
      <c r="B41" s="7" t="s">
        <v>77</v>
      </c>
      <c r="C41" s="7" t="s">
        <v>255</v>
      </c>
      <c r="D41" s="7" t="s">
        <v>83</v>
      </c>
      <c r="E41" s="7" t="s">
        <v>190</v>
      </c>
      <c r="F41" s="7" t="s">
        <v>199</v>
      </c>
      <c r="G41" s="7" t="s">
        <v>56</v>
      </c>
      <c r="H41" s="7" t="s">
        <v>193</v>
      </c>
      <c r="I41" s="7" t="s">
        <v>194</v>
      </c>
      <c r="J41" s="7" t="n">
        <v>1</v>
      </c>
      <c r="K41" s="7" t="s">
        <v>257</v>
      </c>
      <c r="L41" s="7"/>
      <c r="M41" s="7"/>
    </row>
    <row r="42" customFormat="false" ht="23.85" hidden="false" customHeight="false" outlineLevel="0" collapsed="false">
      <c r="A42" s="7" t="s">
        <v>254</v>
      </c>
      <c r="B42" s="7" t="s">
        <v>77</v>
      </c>
      <c r="C42" s="7" t="s">
        <v>255</v>
      </c>
      <c r="D42" s="7" t="s">
        <v>83</v>
      </c>
      <c r="E42" s="7" t="s">
        <v>190</v>
      </c>
      <c r="F42" s="7" t="s">
        <v>200</v>
      </c>
      <c r="G42" s="7" t="s">
        <v>80</v>
      </c>
      <c r="H42" s="7" t="s">
        <v>193</v>
      </c>
      <c r="I42" s="7" t="s">
        <v>194</v>
      </c>
      <c r="J42" s="7"/>
      <c r="K42" s="7"/>
      <c r="L42" s="7"/>
      <c r="M42" s="7"/>
    </row>
    <row r="43" customFormat="false" ht="23.85" hidden="false" customHeight="false" outlineLevel="0" collapsed="false">
      <c r="A43" s="7" t="s">
        <v>254</v>
      </c>
      <c r="B43" s="7" t="s">
        <v>77</v>
      </c>
      <c r="C43" s="7" t="s">
        <v>255</v>
      </c>
      <c r="D43" s="7" t="s">
        <v>83</v>
      </c>
      <c r="E43" s="7" t="s">
        <v>190</v>
      </c>
      <c r="F43" s="7" t="s">
        <v>201</v>
      </c>
      <c r="G43" s="7" t="s">
        <v>79</v>
      </c>
      <c r="H43" s="7" t="s">
        <v>193</v>
      </c>
      <c r="I43" s="7" t="s">
        <v>194</v>
      </c>
      <c r="J43" s="7" t="n">
        <v>1</v>
      </c>
      <c r="K43" s="7" t="s">
        <v>257</v>
      </c>
      <c r="L43" s="7"/>
      <c r="M43" s="7"/>
    </row>
    <row r="44" customFormat="false" ht="23.85" hidden="false" customHeight="false" outlineLevel="0" collapsed="false">
      <c r="A44" s="7" t="s">
        <v>254</v>
      </c>
      <c r="B44" s="7" t="s">
        <v>77</v>
      </c>
      <c r="C44" s="7" t="s">
        <v>255</v>
      </c>
      <c r="D44" s="7" t="s">
        <v>83</v>
      </c>
      <c r="E44" s="7" t="s">
        <v>190</v>
      </c>
      <c r="F44" s="7" t="s">
        <v>202</v>
      </c>
      <c r="G44" s="7" t="s">
        <v>259</v>
      </c>
      <c r="H44" s="7" t="s">
        <v>193</v>
      </c>
      <c r="I44" s="7" t="s">
        <v>194</v>
      </c>
      <c r="J44" s="7"/>
      <c r="K44" s="7" t="s">
        <v>204</v>
      </c>
      <c r="L44" s="7"/>
      <c r="M44" s="7"/>
    </row>
    <row r="45" customFormat="false" ht="23.85" hidden="false" customHeight="false" outlineLevel="0" collapsed="false">
      <c r="A45" s="7" t="s">
        <v>254</v>
      </c>
      <c r="B45" s="7" t="s">
        <v>77</v>
      </c>
      <c r="C45" s="7" t="s">
        <v>255</v>
      </c>
      <c r="D45" s="7" t="s">
        <v>83</v>
      </c>
      <c r="E45" s="7" t="s">
        <v>190</v>
      </c>
      <c r="F45" s="7" t="s">
        <v>205</v>
      </c>
      <c r="G45" s="7" t="s">
        <v>260</v>
      </c>
      <c r="H45" s="7" t="s">
        <v>193</v>
      </c>
      <c r="I45" s="7" t="s">
        <v>194</v>
      </c>
      <c r="J45" s="7" t="n">
        <v>2</v>
      </c>
      <c r="K45" s="7" t="s">
        <v>261</v>
      </c>
      <c r="L45" s="7"/>
      <c r="M45" s="7"/>
    </row>
    <row r="46" customFormat="false" ht="35.05" hidden="false" customHeight="false" outlineLevel="0" collapsed="false">
      <c r="A46" s="7" t="s">
        <v>254</v>
      </c>
      <c r="B46" s="7" t="s">
        <v>77</v>
      </c>
      <c r="C46" s="7" t="s">
        <v>255</v>
      </c>
      <c r="D46" s="7" t="s">
        <v>83</v>
      </c>
      <c r="E46" s="7" t="s">
        <v>190</v>
      </c>
      <c r="F46" s="7" t="s">
        <v>209</v>
      </c>
      <c r="G46" s="7" t="s">
        <v>262</v>
      </c>
      <c r="H46" s="7" t="s">
        <v>193</v>
      </c>
      <c r="I46" s="7" t="s">
        <v>194</v>
      </c>
      <c r="J46" s="7" t="n">
        <v>1</v>
      </c>
      <c r="K46" s="7" t="s">
        <v>211</v>
      </c>
      <c r="L46" s="7" t="s">
        <v>263</v>
      </c>
      <c r="M46" s="7"/>
    </row>
    <row r="47" customFormat="false" ht="35.05" hidden="false" customHeight="false" outlineLevel="0" collapsed="false">
      <c r="A47" s="7" t="s">
        <v>254</v>
      </c>
      <c r="B47" s="7" t="s">
        <v>77</v>
      </c>
      <c r="C47" s="7" t="s">
        <v>255</v>
      </c>
      <c r="D47" s="7" t="s">
        <v>83</v>
      </c>
      <c r="E47" s="7" t="s">
        <v>190</v>
      </c>
      <c r="F47" s="7" t="s">
        <v>213</v>
      </c>
      <c r="G47" s="7" t="s">
        <v>220</v>
      </c>
      <c r="H47" s="7" t="s">
        <v>193</v>
      </c>
      <c r="I47" s="7" t="s">
        <v>194</v>
      </c>
      <c r="J47" s="7" t="n">
        <v>1</v>
      </c>
      <c r="K47" s="7" t="s">
        <v>211</v>
      </c>
      <c r="L47" s="7" t="s">
        <v>263</v>
      </c>
      <c r="M47" s="7"/>
    </row>
    <row r="48" customFormat="false" ht="35.05" hidden="false" customHeight="false" outlineLevel="0" collapsed="false">
      <c r="A48" s="7" t="s">
        <v>254</v>
      </c>
      <c r="B48" s="7" t="s">
        <v>77</v>
      </c>
      <c r="C48" s="7" t="s">
        <v>255</v>
      </c>
      <c r="D48" s="7" t="s">
        <v>83</v>
      </c>
      <c r="E48" s="7" t="s">
        <v>190</v>
      </c>
      <c r="F48" s="11" t="s">
        <v>215</v>
      </c>
      <c r="G48" s="7" t="s">
        <v>264</v>
      </c>
      <c r="H48" s="7" t="s">
        <v>193</v>
      </c>
      <c r="I48" s="7" t="s">
        <v>194</v>
      </c>
      <c r="J48" s="7" t="n">
        <v>1</v>
      </c>
      <c r="K48" s="7" t="s">
        <v>211</v>
      </c>
      <c r="L48" s="7" t="s">
        <v>263</v>
      </c>
      <c r="M48" s="7"/>
    </row>
    <row r="49" customFormat="false" ht="35.05" hidden="false" customHeight="false" outlineLevel="0" collapsed="false">
      <c r="A49" s="7" t="s">
        <v>254</v>
      </c>
      <c r="B49" s="7" t="s">
        <v>77</v>
      </c>
      <c r="C49" s="7" t="s">
        <v>255</v>
      </c>
      <c r="D49" s="7" t="s">
        <v>83</v>
      </c>
      <c r="E49" s="7" t="s">
        <v>190</v>
      </c>
      <c r="F49" s="11" t="s">
        <v>217</v>
      </c>
      <c r="G49" s="7" t="s">
        <v>63</v>
      </c>
      <c r="H49" s="7" t="s">
        <v>193</v>
      </c>
      <c r="I49" s="7" t="s">
        <v>194</v>
      </c>
      <c r="J49" s="7" t="n">
        <v>1</v>
      </c>
      <c r="K49" s="7" t="s">
        <v>211</v>
      </c>
      <c r="L49" s="7" t="s">
        <v>265</v>
      </c>
      <c r="M49" s="7"/>
    </row>
    <row r="50" customFormat="false" ht="35.05" hidden="false" customHeight="false" outlineLevel="0" collapsed="false">
      <c r="A50" s="7" t="s">
        <v>254</v>
      </c>
      <c r="B50" s="7" t="s">
        <v>77</v>
      </c>
      <c r="C50" s="7" t="s">
        <v>255</v>
      </c>
      <c r="D50" s="7" t="s">
        <v>83</v>
      </c>
      <c r="E50" s="7" t="s">
        <v>190</v>
      </c>
      <c r="F50" s="7" t="s">
        <v>219</v>
      </c>
      <c r="G50" s="7" t="s">
        <v>220</v>
      </c>
      <c r="H50" s="7" t="s">
        <v>193</v>
      </c>
      <c r="I50" s="7" t="s">
        <v>194</v>
      </c>
      <c r="J50" s="7" t="n">
        <v>1</v>
      </c>
      <c r="K50" s="7" t="s">
        <v>211</v>
      </c>
      <c r="L50" s="7" t="s">
        <v>265</v>
      </c>
      <c r="M50" s="7"/>
    </row>
    <row r="51" customFormat="false" ht="23.85" hidden="false" customHeight="false" outlineLevel="0" collapsed="false">
      <c r="A51" s="7" t="s">
        <v>254</v>
      </c>
      <c r="B51" s="7" t="s">
        <v>77</v>
      </c>
      <c r="C51" s="7" t="s">
        <v>255</v>
      </c>
      <c r="D51" s="7" t="s">
        <v>83</v>
      </c>
      <c r="E51" s="7" t="s">
        <v>190</v>
      </c>
      <c r="F51" s="11" t="s">
        <v>221</v>
      </c>
      <c r="G51" s="7" t="s">
        <v>266</v>
      </c>
      <c r="H51" s="7" t="s">
        <v>193</v>
      </c>
      <c r="I51" s="7" t="s">
        <v>194</v>
      </c>
      <c r="J51" s="7" t="n">
        <v>1</v>
      </c>
      <c r="K51" s="7" t="s">
        <v>223</v>
      </c>
      <c r="L51" s="7" t="s">
        <v>267</v>
      </c>
      <c r="M51" s="7"/>
    </row>
    <row r="52" customFormat="false" ht="23.85" hidden="false" customHeight="false" outlineLevel="0" collapsed="false">
      <c r="A52" s="7" t="s">
        <v>254</v>
      </c>
      <c r="B52" s="7" t="s">
        <v>77</v>
      </c>
      <c r="C52" s="7" t="s">
        <v>255</v>
      </c>
      <c r="D52" s="7" t="s">
        <v>83</v>
      </c>
      <c r="E52" s="7" t="s">
        <v>190</v>
      </c>
      <c r="F52" s="7" t="s">
        <v>225</v>
      </c>
      <c r="G52" s="7" t="s">
        <v>268</v>
      </c>
      <c r="H52" s="7" t="s">
        <v>193</v>
      </c>
      <c r="I52" s="7" t="s">
        <v>194</v>
      </c>
      <c r="J52" s="7" t="n">
        <v>1</v>
      </c>
      <c r="K52" s="7" t="s">
        <v>227</v>
      </c>
      <c r="L52" s="7" t="s">
        <v>269</v>
      </c>
      <c r="M52" s="7"/>
    </row>
    <row r="53" customFormat="false" ht="23.85" hidden="false" customHeight="false" outlineLevel="0" collapsed="false">
      <c r="A53" s="7" t="s">
        <v>254</v>
      </c>
      <c r="B53" s="7" t="s">
        <v>77</v>
      </c>
      <c r="C53" s="7" t="s">
        <v>255</v>
      </c>
      <c r="D53" s="7" t="s">
        <v>83</v>
      </c>
      <c r="E53" s="7" t="s">
        <v>190</v>
      </c>
      <c r="F53" s="11" t="s">
        <v>229</v>
      </c>
      <c r="G53" s="7" t="s">
        <v>270</v>
      </c>
      <c r="H53" s="7" t="s">
        <v>193</v>
      </c>
      <c r="I53" s="7" t="s">
        <v>194</v>
      </c>
      <c r="J53" s="7" t="n">
        <v>1</v>
      </c>
      <c r="K53" s="7" t="s">
        <v>231</v>
      </c>
      <c r="L53" s="7" t="s">
        <v>271</v>
      </c>
      <c r="M53" s="7"/>
    </row>
    <row r="54" customFormat="false" ht="23.85" hidden="false" customHeight="false" outlineLevel="0" collapsed="false">
      <c r="A54" s="7" t="s">
        <v>254</v>
      </c>
      <c r="B54" s="7" t="s">
        <v>77</v>
      </c>
      <c r="C54" s="7" t="s">
        <v>255</v>
      </c>
      <c r="D54" s="7" t="s">
        <v>83</v>
      </c>
      <c r="E54" s="7" t="s">
        <v>190</v>
      </c>
      <c r="F54" s="7" t="s">
        <v>233</v>
      </c>
      <c r="G54" s="7" t="s">
        <v>70</v>
      </c>
      <c r="H54" s="7" t="s">
        <v>193</v>
      </c>
      <c r="I54" s="7" t="s">
        <v>194</v>
      </c>
      <c r="J54" s="7" t="n">
        <v>1</v>
      </c>
      <c r="K54" s="7" t="s">
        <v>231</v>
      </c>
      <c r="L54" s="7" t="s">
        <v>271</v>
      </c>
      <c r="M54" s="7"/>
    </row>
    <row r="55" customFormat="false" ht="32.8" hidden="false" customHeight="false" outlineLevel="0" collapsed="false">
      <c r="A55" s="12" t="s">
        <v>254</v>
      </c>
      <c r="B55" s="12" t="s">
        <v>77</v>
      </c>
      <c r="C55" s="12" t="s">
        <v>255</v>
      </c>
      <c r="D55" s="12" t="s">
        <v>83</v>
      </c>
      <c r="E55" s="12" t="s">
        <v>190</v>
      </c>
      <c r="F55" s="12" t="s">
        <v>235</v>
      </c>
      <c r="G55" s="12" t="s">
        <v>236</v>
      </c>
      <c r="H55" s="12" t="s">
        <v>237</v>
      </c>
      <c r="I55" s="12" t="s">
        <v>237</v>
      </c>
      <c r="J55" s="12"/>
      <c r="K55" s="12"/>
      <c r="L55" s="12"/>
      <c r="M55" s="12" t="s">
        <v>238</v>
      </c>
    </row>
    <row r="56" customFormat="false" ht="23.85" hidden="false" customHeight="false" outlineLevel="0" collapsed="false">
      <c r="A56" s="7" t="s">
        <v>272</v>
      </c>
      <c r="B56" s="7" t="s">
        <v>91</v>
      </c>
      <c r="C56" s="7" t="s">
        <v>273</v>
      </c>
      <c r="D56" s="7" t="s">
        <v>65</v>
      </c>
      <c r="E56" s="7" t="s">
        <v>190</v>
      </c>
      <c r="F56" s="7" t="s">
        <v>191</v>
      </c>
      <c r="G56" s="7" t="s">
        <v>192</v>
      </c>
      <c r="H56" s="7" t="s">
        <v>193</v>
      </c>
      <c r="I56" s="7" t="s">
        <v>194</v>
      </c>
      <c r="J56" s="7"/>
      <c r="K56" s="7"/>
      <c r="L56" s="7"/>
      <c r="M56" s="7"/>
    </row>
    <row r="57" customFormat="false" ht="23.85" hidden="false" customHeight="false" outlineLevel="0" collapsed="false">
      <c r="A57" s="7" t="s">
        <v>272</v>
      </c>
      <c r="B57" s="7" t="s">
        <v>91</v>
      </c>
      <c r="C57" s="7" t="s">
        <v>273</v>
      </c>
      <c r="D57" s="7" t="s">
        <v>65</v>
      </c>
      <c r="E57" s="7" t="s">
        <v>190</v>
      </c>
      <c r="F57" s="7" t="s">
        <v>195</v>
      </c>
      <c r="G57" s="7" t="s">
        <v>196</v>
      </c>
      <c r="H57" s="7" t="s">
        <v>193</v>
      </c>
      <c r="I57" s="7" t="s">
        <v>194</v>
      </c>
      <c r="J57" s="7"/>
      <c r="K57" s="7"/>
      <c r="L57" s="7"/>
      <c r="M57" s="7"/>
    </row>
    <row r="58" customFormat="false" ht="23.85" hidden="false" customHeight="false" outlineLevel="0" collapsed="false">
      <c r="A58" s="7" t="s">
        <v>272</v>
      </c>
      <c r="B58" s="7" t="s">
        <v>91</v>
      </c>
      <c r="C58" s="7" t="s">
        <v>273</v>
      </c>
      <c r="D58" s="7" t="s">
        <v>65</v>
      </c>
      <c r="E58" s="7" t="s">
        <v>190</v>
      </c>
      <c r="F58" s="7" t="s">
        <v>197</v>
      </c>
      <c r="G58" s="7" t="s">
        <v>95</v>
      </c>
      <c r="H58" s="7" t="s">
        <v>193</v>
      </c>
      <c r="I58" s="7" t="s">
        <v>194</v>
      </c>
      <c r="J58" s="7" t="n">
        <v>1</v>
      </c>
      <c r="K58" s="7" t="s">
        <v>198</v>
      </c>
      <c r="L58" s="7"/>
      <c r="M58" s="7"/>
    </row>
    <row r="59" customFormat="false" ht="23.85" hidden="false" customHeight="false" outlineLevel="0" collapsed="false">
      <c r="A59" s="7" t="s">
        <v>272</v>
      </c>
      <c r="B59" s="7" t="s">
        <v>91</v>
      </c>
      <c r="C59" s="7" t="s">
        <v>273</v>
      </c>
      <c r="D59" s="7" t="s">
        <v>65</v>
      </c>
      <c r="E59" s="7" t="s">
        <v>190</v>
      </c>
      <c r="F59" s="7" t="s">
        <v>199</v>
      </c>
      <c r="G59" s="7" t="s">
        <v>93</v>
      </c>
      <c r="H59" s="7" t="s">
        <v>193</v>
      </c>
      <c r="I59" s="7" t="s">
        <v>194</v>
      </c>
      <c r="J59" s="7" t="n">
        <v>1</v>
      </c>
      <c r="K59" s="7" t="s">
        <v>198</v>
      </c>
      <c r="L59" s="7"/>
      <c r="M59" s="7"/>
    </row>
    <row r="60" customFormat="false" ht="23.85" hidden="false" customHeight="false" outlineLevel="0" collapsed="false">
      <c r="A60" s="7" t="s">
        <v>272</v>
      </c>
      <c r="B60" s="7" t="s">
        <v>91</v>
      </c>
      <c r="C60" s="7" t="s">
        <v>273</v>
      </c>
      <c r="D60" s="7" t="s">
        <v>65</v>
      </c>
      <c r="E60" s="7" t="s">
        <v>190</v>
      </c>
      <c r="F60" s="7" t="s">
        <v>200</v>
      </c>
      <c r="G60" s="7" t="s">
        <v>97</v>
      </c>
      <c r="H60" s="7" t="s">
        <v>193</v>
      </c>
      <c r="I60" s="7" t="s">
        <v>194</v>
      </c>
      <c r="J60" s="7"/>
      <c r="K60" s="7"/>
      <c r="L60" s="7"/>
      <c r="M60" s="7"/>
    </row>
    <row r="61" customFormat="false" ht="23.85" hidden="false" customHeight="false" outlineLevel="0" collapsed="false">
      <c r="A61" s="7" t="s">
        <v>272</v>
      </c>
      <c r="B61" s="7" t="s">
        <v>91</v>
      </c>
      <c r="C61" s="7" t="s">
        <v>273</v>
      </c>
      <c r="D61" s="7" t="s">
        <v>65</v>
      </c>
      <c r="E61" s="7" t="s">
        <v>190</v>
      </c>
      <c r="F61" s="7" t="s">
        <v>201</v>
      </c>
      <c r="G61" s="7" t="s">
        <v>96</v>
      </c>
      <c r="H61" s="7" t="s">
        <v>193</v>
      </c>
      <c r="I61" s="7" t="s">
        <v>194</v>
      </c>
      <c r="J61" s="7" t="n">
        <v>1</v>
      </c>
      <c r="K61" s="7" t="s">
        <v>198</v>
      </c>
      <c r="L61" s="7"/>
      <c r="M61" s="7"/>
    </row>
    <row r="62" customFormat="false" ht="23.85" hidden="false" customHeight="false" outlineLevel="0" collapsed="false">
      <c r="A62" s="7" t="s">
        <v>272</v>
      </c>
      <c r="B62" s="7" t="s">
        <v>91</v>
      </c>
      <c r="C62" s="7" t="s">
        <v>273</v>
      </c>
      <c r="D62" s="7" t="s">
        <v>65</v>
      </c>
      <c r="E62" s="7" t="s">
        <v>190</v>
      </c>
      <c r="F62" s="7" t="s">
        <v>202</v>
      </c>
      <c r="G62" s="7" t="s">
        <v>274</v>
      </c>
      <c r="H62" s="7" t="s">
        <v>193</v>
      </c>
      <c r="I62" s="7" t="s">
        <v>90</v>
      </c>
      <c r="J62" s="7"/>
      <c r="K62" s="7" t="s">
        <v>204</v>
      </c>
      <c r="L62" s="7"/>
      <c r="M62" s="7" t="s">
        <v>275</v>
      </c>
    </row>
    <row r="63" customFormat="false" ht="23.85" hidden="false" customHeight="false" outlineLevel="0" collapsed="false">
      <c r="A63" s="7" t="s">
        <v>272</v>
      </c>
      <c r="B63" s="7" t="s">
        <v>91</v>
      </c>
      <c r="C63" s="7" t="s">
        <v>273</v>
      </c>
      <c r="D63" s="7" t="s">
        <v>65</v>
      </c>
      <c r="E63" s="7" t="s">
        <v>190</v>
      </c>
      <c r="F63" s="7" t="s">
        <v>205</v>
      </c>
      <c r="G63" s="7" t="s">
        <v>276</v>
      </c>
      <c r="H63" s="7" t="s">
        <v>193</v>
      </c>
      <c r="I63" s="7" t="s">
        <v>194</v>
      </c>
      <c r="J63" s="7" t="n">
        <v>2</v>
      </c>
      <c r="K63" s="7" t="s">
        <v>207</v>
      </c>
      <c r="L63" s="7"/>
      <c r="M63" s="7"/>
    </row>
    <row r="64" customFormat="false" ht="23.85" hidden="false" customHeight="false" outlineLevel="0" collapsed="false">
      <c r="A64" s="7" t="s">
        <v>272</v>
      </c>
      <c r="B64" s="7" t="s">
        <v>91</v>
      </c>
      <c r="C64" s="7" t="s">
        <v>273</v>
      </c>
      <c r="D64" s="7" t="s">
        <v>65</v>
      </c>
      <c r="E64" s="7" t="s">
        <v>190</v>
      </c>
      <c r="F64" s="7" t="s">
        <v>209</v>
      </c>
      <c r="G64" s="7" t="s">
        <v>277</v>
      </c>
      <c r="H64" s="7" t="s">
        <v>193</v>
      </c>
      <c r="I64" s="7" t="s">
        <v>194</v>
      </c>
      <c r="J64" s="7" t="n">
        <v>1</v>
      </c>
      <c r="K64" s="7" t="s">
        <v>211</v>
      </c>
      <c r="L64" s="7" t="s">
        <v>278</v>
      </c>
      <c r="M64" s="7"/>
    </row>
    <row r="65" customFormat="false" ht="23.85" hidden="false" customHeight="false" outlineLevel="0" collapsed="false">
      <c r="A65" s="7" t="s">
        <v>272</v>
      </c>
      <c r="B65" s="7" t="s">
        <v>91</v>
      </c>
      <c r="C65" s="7" t="s">
        <v>273</v>
      </c>
      <c r="D65" s="7" t="s">
        <v>65</v>
      </c>
      <c r="E65" s="7" t="s">
        <v>190</v>
      </c>
      <c r="F65" s="13" t="s">
        <v>213</v>
      </c>
      <c r="G65" s="13"/>
      <c r="H65" s="13" t="s">
        <v>247</v>
      </c>
      <c r="I65" s="7" t="s">
        <v>194</v>
      </c>
      <c r="J65" s="7"/>
      <c r="K65" s="7"/>
      <c r="L65" s="7"/>
      <c r="M65" s="7" t="s">
        <v>279</v>
      </c>
    </row>
    <row r="66" customFormat="false" ht="23.85" hidden="false" customHeight="false" outlineLevel="0" collapsed="false">
      <c r="A66" s="7" t="s">
        <v>272</v>
      </c>
      <c r="B66" s="7" t="s">
        <v>91</v>
      </c>
      <c r="C66" s="7" t="s">
        <v>273</v>
      </c>
      <c r="D66" s="7" t="s">
        <v>65</v>
      </c>
      <c r="E66" s="7" t="s">
        <v>190</v>
      </c>
      <c r="F66" s="14" t="s">
        <v>215</v>
      </c>
      <c r="G66" s="13"/>
      <c r="H66" s="13" t="s">
        <v>247</v>
      </c>
      <c r="I66" s="7" t="s">
        <v>194</v>
      </c>
      <c r="J66" s="7"/>
      <c r="K66" s="7"/>
      <c r="L66" s="7"/>
      <c r="M66" s="7" t="s">
        <v>280</v>
      </c>
    </row>
    <row r="67" customFormat="false" ht="23.85" hidden="false" customHeight="false" outlineLevel="0" collapsed="false">
      <c r="A67" s="7" t="s">
        <v>272</v>
      </c>
      <c r="B67" s="7" t="s">
        <v>91</v>
      </c>
      <c r="C67" s="7" t="s">
        <v>273</v>
      </c>
      <c r="D67" s="7" t="s">
        <v>65</v>
      </c>
      <c r="E67" s="7" t="s">
        <v>190</v>
      </c>
      <c r="F67" s="11" t="s">
        <v>217</v>
      </c>
      <c r="G67" s="7" t="s">
        <v>100</v>
      </c>
      <c r="H67" s="7" t="s">
        <v>193</v>
      </c>
      <c r="I67" s="7" t="s">
        <v>194</v>
      </c>
      <c r="J67" s="7" t="n">
        <v>1</v>
      </c>
      <c r="K67" s="7" t="s">
        <v>211</v>
      </c>
      <c r="L67" s="7" t="s">
        <v>278</v>
      </c>
      <c r="M67" s="7" t="s">
        <v>281</v>
      </c>
    </row>
    <row r="68" customFormat="false" ht="23.85" hidden="false" customHeight="false" outlineLevel="0" collapsed="false">
      <c r="A68" s="7" t="s">
        <v>272</v>
      </c>
      <c r="B68" s="7" t="s">
        <v>91</v>
      </c>
      <c r="C68" s="7" t="s">
        <v>273</v>
      </c>
      <c r="D68" s="7" t="s">
        <v>65</v>
      </c>
      <c r="E68" s="7" t="s">
        <v>190</v>
      </c>
      <c r="F68" s="13" t="s">
        <v>219</v>
      </c>
      <c r="G68" s="13"/>
      <c r="H68" s="13" t="s">
        <v>247</v>
      </c>
      <c r="I68" s="7" t="s">
        <v>194</v>
      </c>
      <c r="J68" s="7"/>
      <c r="K68" s="7"/>
      <c r="L68" s="7"/>
      <c r="M68" s="7" t="s">
        <v>282</v>
      </c>
    </row>
    <row r="69" customFormat="false" ht="23.85" hidden="false" customHeight="false" outlineLevel="0" collapsed="false">
      <c r="A69" s="7" t="s">
        <v>272</v>
      </c>
      <c r="B69" s="7" t="s">
        <v>91</v>
      </c>
      <c r="C69" s="7" t="s">
        <v>273</v>
      </c>
      <c r="D69" s="7" t="s">
        <v>65</v>
      </c>
      <c r="E69" s="7" t="s">
        <v>190</v>
      </c>
      <c r="F69" s="11" t="s">
        <v>221</v>
      </c>
      <c r="G69" s="7" t="s">
        <v>283</v>
      </c>
      <c r="H69" s="7" t="s">
        <v>193</v>
      </c>
      <c r="I69" s="7" t="s">
        <v>194</v>
      </c>
      <c r="J69" s="7" t="n">
        <v>1</v>
      </c>
      <c r="K69" s="7" t="s">
        <v>223</v>
      </c>
      <c r="L69" s="7" t="s">
        <v>284</v>
      </c>
      <c r="M69" s="7"/>
    </row>
    <row r="70" customFormat="false" ht="35.05" hidden="false" customHeight="false" outlineLevel="0" collapsed="false">
      <c r="A70" s="7" t="s">
        <v>272</v>
      </c>
      <c r="B70" s="7" t="s">
        <v>91</v>
      </c>
      <c r="C70" s="7" t="s">
        <v>273</v>
      </c>
      <c r="D70" s="7" t="s">
        <v>65</v>
      </c>
      <c r="E70" s="7" t="s">
        <v>190</v>
      </c>
      <c r="F70" s="7" t="s">
        <v>225</v>
      </c>
      <c r="G70" s="7" t="s">
        <v>285</v>
      </c>
      <c r="H70" s="7" t="s">
        <v>193</v>
      </c>
      <c r="I70" s="7" t="s">
        <v>194</v>
      </c>
      <c r="J70" s="7" t="n">
        <v>1</v>
      </c>
      <c r="K70" s="7" t="s">
        <v>227</v>
      </c>
      <c r="L70" s="7" t="s">
        <v>286</v>
      </c>
      <c r="M70" s="7"/>
    </row>
    <row r="71" customFormat="false" ht="23.85" hidden="false" customHeight="false" outlineLevel="0" collapsed="false">
      <c r="A71" s="7" t="s">
        <v>272</v>
      </c>
      <c r="B71" s="7" t="s">
        <v>91</v>
      </c>
      <c r="C71" s="7" t="s">
        <v>273</v>
      </c>
      <c r="D71" s="7" t="s">
        <v>65</v>
      </c>
      <c r="E71" s="7" t="s">
        <v>190</v>
      </c>
      <c r="F71" s="11" t="s">
        <v>229</v>
      </c>
      <c r="G71" s="7" t="s">
        <v>287</v>
      </c>
      <c r="H71" s="7" t="s">
        <v>193</v>
      </c>
      <c r="I71" s="7" t="s">
        <v>194</v>
      </c>
      <c r="J71" s="7" t="n">
        <v>1</v>
      </c>
      <c r="K71" s="7" t="s">
        <v>231</v>
      </c>
      <c r="L71" s="7" t="s">
        <v>288</v>
      </c>
      <c r="M71" s="7"/>
    </row>
    <row r="72" customFormat="false" ht="23.85" hidden="false" customHeight="false" outlineLevel="0" collapsed="false">
      <c r="A72" s="7" t="s">
        <v>272</v>
      </c>
      <c r="B72" s="7" t="s">
        <v>91</v>
      </c>
      <c r="C72" s="7" t="s">
        <v>273</v>
      </c>
      <c r="D72" s="7" t="s">
        <v>65</v>
      </c>
      <c r="E72" s="7" t="s">
        <v>190</v>
      </c>
      <c r="F72" s="7" t="s">
        <v>233</v>
      </c>
      <c r="G72" s="7" t="s">
        <v>104</v>
      </c>
      <c r="H72" s="7" t="s">
        <v>193</v>
      </c>
      <c r="I72" s="7" t="s">
        <v>194</v>
      </c>
      <c r="J72" s="7" t="n">
        <v>1</v>
      </c>
      <c r="K72" s="7" t="s">
        <v>231</v>
      </c>
      <c r="L72" s="7" t="s">
        <v>289</v>
      </c>
      <c r="M72" s="7"/>
    </row>
    <row r="73" customFormat="false" ht="32.8" hidden="false" customHeight="false" outlineLevel="0" collapsed="false">
      <c r="A73" s="12" t="s">
        <v>272</v>
      </c>
      <c r="B73" s="12" t="s">
        <v>91</v>
      </c>
      <c r="C73" s="12" t="s">
        <v>273</v>
      </c>
      <c r="D73" s="12" t="s">
        <v>65</v>
      </c>
      <c r="E73" s="12" t="s">
        <v>190</v>
      </c>
      <c r="F73" s="12" t="s">
        <v>235</v>
      </c>
      <c r="G73" s="12" t="s">
        <v>236</v>
      </c>
      <c r="H73" s="12" t="s">
        <v>237</v>
      </c>
      <c r="I73" s="12" t="s">
        <v>237</v>
      </c>
      <c r="J73" s="12"/>
      <c r="K73" s="12"/>
      <c r="L73" s="12"/>
      <c r="M73" s="12" t="s">
        <v>238</v>
      </c>
    </row>
    <row r="74" customFormat="false" ht="23.85" hidden="false" customHeight="false" outlineLevel="0" collapsed="false">
      <c r="A74" s="7" t="s">
        <v>290</v>
      </c>
      <c r="B74" s="7" t="s">
        <v>107</v>
      </c>
      <c r="C74" s="7" t="s">
        <v>291</v>
      </c>
      <c r="D74" s="7" t="s">
        <v>113</v>
      </c>
      <c r="E74" s="7" t="s">
        <v>190</v>
      </c>
      <c r="F74" s="7" t="s">
        <v>191</v>
      </c>
      <c r="G74" s="7" t="s">
        <v>192</v>
      </c>
      <c r="H74" s="7" t="s">
        <v>193</v>
      </c>
      <c r="I74" s="7" t="s">
        <v>194</v>
      </c>
      <c r="J74" s="7"/>
      <c r="K74" s="7"/>
      <c r="L74" s="7"/>
      <c r="M74" s="7"/>
    </row>
    <row r="75" customFormat="false" ht="23.85" hidden="false" customHeight="false" outlineLevel="0" collapsed="false">
      <c r="A75" s="7" t="s">
        <v>290</v>
      </c>
      <c r="B75" s="7" t="s">
        <v>107</v>
      </c>
      <c r="C75" s="7" t="s">
        <v>291</v>
      </c>
      <c r="D75" s="7" t="s">
        <v>113</v>
      </c>
      <c r="E75" s="7" t="s">
        <v>190</v>
      </c>
      <c r="F75" s="7" t="s">
        <v>195</v>
      </c>
      <c r="G75" s="7" t="s">
        <v>256</v>
      </c>
      <c r="H75" s="7" t="s">
        <v>193</v>
      </c>
      <c r="I75" s="7" t="s">
        <v>194</v>
      </c>
      <c r="J75" s="7"/>
      <c r="K75" s="7"/>
      <c r="L75" s="7"/>
      <c r="M75" s="7"/>
    </row>
    <row r="76" customFormat="false" ht="23.85" hidden="false" customHeight="false" outlineLevel="0" collapsed="false">
      <c r="A76" s="7" t="s">
        <v>290</v>
      </c>
      <c r="B76" s="7" t="s">
        <v>107</v>
      </c>
      <c r="C76" s="7" t="s">
        <v>291</v>
      </c>
      <c r="D76" s="7" t="s">
        <v>113</v>
      </c>
      <c r="E76" s="7" t="s">
        <v>190</v>
      </c>
      <c r="F76" s="7" t="s">
        <v>197</v>
      </c>
      <c r="G76" s="7" t="s">
        <v>108</v>
      </c>
      <c r="H76" s="7" t="s">
        <v>193</v>
      </c>
      <c r="I76" s="7" t="s">
        <v>194</v>
      </c>
      <c r="J76" s="7" t="n">
        <v>1</v>
      </c>
      <c r="K76" s="7" t="s">
        <v>257</v>
      </c>
      <c r="L76" s="7"/>
      <c r="M76" s="7"/>
    </row>
    <row r="77" customFormat="false" ht="23.85" hidden="false" customHeight="false" outlineLevel="0" collapsed="false">
      <c r="A77" s="7" t="s">
        <v>290</v>
      </c>
      <c r="B77" s="7" t="s">
        <v>107</v>
      </c>
      <c r="C77" s="7" t="s">
        <v>291</v>
      </c>
      <c r="D77" s="7" t="s">
        <v>113</v>
      </c>
      <c r="E77" s="7" t="s">
        <v>190</v>
      </c>
      <c r="F77" s="7" t="s">
        <v>199</v>
      </c>
      <c r="G77" s="7" t="s">
        <v>93</v>
      </c>
      <c r="H77" s="7" t="s">
        <v>193</v>
      </c>
      <c r="I77" s="7" t="s">
        <v>194</v>
      </c>
      <c r="J77" s="7" t="n">
        <v>1</v>
      </c>
      <c r="K77" s="7" t="s">
        <v>257</v>
      </c>
      <c r="L77" s="7"/>
      <c r="M77" s="7"/>
    </row>
    <row r="78" customFormat="false" ht="23.85" hidden="false" customHeight="false" outlineLevel="0" collapsed="false">
      <c r="A78" s="7" t="s">
        <v>290</v>
      </c>
      <c r="B78" s="7" t="s">
        <v>107</v>
      </c>
      <c r="C78" s="7" t="s">
        <v>291</v>
      </c>
      <c r="D78" s="7" t="s">
        <v>113</v>
      </c>
      <c r="E78" s="7" t="s">
        <v>190</v>
      </c>
      <c r="F78" s="7" t="s">
        <v>200</v>
      </c>
      <c r="G78" s="7" t="s">
        <v>110</v>
      </c>
      <c r="H78" s="7" t="s">
        <v>193</v>
      </c>
      <c r="I78" s="7" t="s">
        <v>194</v>
      </c>
      <c r="J78" s="7"/>
      <c r="K78" s="7"/>
      <c r="L78" s="7"/>
      <c r="M78" s="7"/>
    </row>
    <row r="79" customFormat="false" ht="23.85" hidden="false" customHeight="false" outlineLevel="0" collapsed="false">
      <c r="A79" s="7" t="s">
        <v>290</v>
      </c>
      <c r="B79" s="7" t="s">
        <v>107</v>
      </c>
      <c r="C79" s="7" t="s">
        <v>291</v>
      </c>
      <c r="D79" s="7" t="s">
        <v>113</v>
      </c>
      <c r="E79" s="7" t="s">
        <v>190</v>
      </c>
      <c r="F79" s="7" t="s">
        <v>201</v>
      </c>
      <c r="G79" s="7" t="s">
        <v>109</v>
      </c>
      <c r="H79" s="7" t="s">
        <v>193</v>
      </c>
      <c r="I79" s="7" t="s">
        <v>194</v>
      </c>
      <c r="J79" s="7" t="n">
        <v>1</v>
      </c>
      <c r="K79" s="7" t="s">
        <v>257</v>
      </c>
      <c r="L79" s="7"/>
      <c r="M79" s="7"/>
    </row>
    <row r="80" customFormat="false" ht="23.85" hidden="false" customHeight="false" outlineLevel="0" collapsed="false">
      <c r="A80" s="7" t="s">
        <v>290</v>
      </c>
      <c r="B80" s="7" t="s">
        <v>107</v>
      </c>
      <c r="C80" s="7" t="s">
        <v>291</v>
      </c>
      <c r="D80" s="7" t="s">
        <v>113</v>
      </c>
      <c r="E80" s="7" t="s">
        <v>190</v>
      </c>
      <c r="F80" s="7" t="s">
        <v>202</v>
      </c>
      <c r="G80" s="7" t="s">
        <v>259</v>
      </c>
      <c r="H80" s="7" t="s">
        <v>193</v>
      </c>
      <c r="I80" s="7" t="s">
        <v>194</v>
      </c>
      <c r="J80" s="7"/>
      <c r="K80" s="7" t="s">
        <v>204</v>
      </c>
      <c r="L80" s="7"/>
      <c r="M80" s="7"/>
    </row>
    <row r="81" customFormat="false" ht="23.85" hidden="false" customHeight="false" outlineLevel="0" collapsed="false">
      <c r="A81" s="7" t="s">
        <v>290</v>
      </c>
      <c r="B81" s="7" t="s">
        <v>107</v>
      </c>
      <c r="C81" s="7" t="s">
        <v>291</v>
      </c>
      <c r="D81" s="7" t="s">
        <v>113</v>
      </c>
      <c r="E81" s="7" t="s">
        <v>190</v>
      </c>
      <c r="F81" s="7" t="s">
        <v>205</v>
      </c>
      <c r="G81" s="7" t="s">
        <v>292</v>
      </c>
      <c r="H81" s="7" t="s">
        <v>193</v>
      </c>
      <c r="I81" s="7" t="s">
        <v>194</v>
      </c>
      <c r="J81" s="7" t="n">
        <v>3</v>
      </c>
      <c r="K81" s="7" t="s">
        <v>261</v>
      </c>
      <c r="L81" s="7"/>
      <c r="M81" s="7"/>
    </row>
    <row r="82" customFormat="false" ht="23.85" hidden="false" customHeight="false" outlineLevel="0" collapsed="false">
      <c r="A82" s="7" t="s">
        <v>290</v>
      </c>
      <c r="B82" s="7" t="s">
        <v>107</v>
      </c>
      <c r="C82" s="7" t="s">
        <v>291</v>
      </c>
      <c r="D82" s="7" t="s">
        <v>113</v>
      </c>
      <c r="E82" s="7" t="s">
        <v>190</v>
      </c>
      <c r="F82" s="7" t="s">
        <v>209</v>
      </c>
      <c r="G82" s="7" t="s">
        <v>293</v>
      </c>
      <c r="H82" s="7" t="s">
        <v>193</v>
      </c>
      <c r="I82" s="7" t="s">
        <v>194</v>
      </c>
      <c r="J82" s="7" t="n">
        <v>1</v>
      </c>
      <c r="K82" s="7" t="s">
        <v>294</v>
      </c>
      <c r="L82" s="7" t="s">
        <v>295</v>
      </c>
      <c r="M82" s="7"/>
    </row>
    <row r="83" customFormat="false" ht="23.85" hidden="false" customHeight="false" outlineLevel="0" collapsed="false">
      <c r="A83" s="7" t="s">
        <v>290</v>
      </c>
      <c r="B83" s="7" t="s">
        <v>107</v>
      </c>
      <c r="C83" s="7" t="s">
        <v>291</v>
      </c>
      <c r="D83" s="7" t="s">
        <v>113</v>
      </c>
      <c r="E83" s="7" t="s">
        <v>190</v>
      </c>
      <c r="F83" s="7" t="s">
        <v>213</v>
      </c>
      <c r="G83" s="7" t="s">
        <v>296</v>
      </c>
      <c r="H83" s="7" t="s">
        <v>193</v>
      </c>
      <c r="I83" s="7" t="s">
        <v>194</v>
      </c>
      <c r="J83" s="7" t="n">
        <v>1</v>
      </c>
      <c r="K83" s="7" t="s">
        <v>294</v>
      </c>
      <c r="L83" s="7" t="s">
        <v>295</v>
      </c>
      <c r="M83" s="7"/>
    </row>
    <row r="84" customFormat="false" ht="23.85" hidden="false" customHeight="false" outlineLevel="0" collapsed="false">
      <c r="A84" s="7" t="s">
        <v>290</v>
      </c>
      <c r="B84" s="7" t="s">
        <v>107</v>
      </c>
      <c r="C84" s="7" t="s">
        <v>291</v>
      </c>
      <c r="D84" s="7" t="s">
        <v>113</v>
      </c>
      <c r="E84" s="7" t="s">
        <v>190</v>
      </c>
      <c r="F84" s="11" t="s">
        <v>215</v>
      </c>
      <c r="G84" s="7" t="s">
        <v>297</v>
      </c>
      <c r="H84" s="7" t="s">
        <v>193</v>
      </c>
      <c r="I84" s="7" t="s">
        <v>194</v>
      </c>
      <c r="J84" s="7" t="n">
        <v>1</v>
      </c>
      <c r="K84" s="7" t="s">
        <v>294</v>
      </c>
      <c r="L84" s="7" t="s">
        <v>295</v>
      </c>
      <c r="M84" s="7"/>
    </row>
    <row r="85" customFormat="false" ht="23.85" hidden="false" customHeight="false" outlineLevel="0" collapsed="false">
      <c r="A85" s="7" t="s">
        <v>290</v>
      </c>
      <c r="B85" s="7" t="s">
        <v>107</v>
      </c>
      <c r="C85" s="7" t="s">
        <v>291</v>
      </c>
      <c r="D85" s="7" t="s">
        <v>113</v>
      </c>
      <c r="E85" s="7" t="s">
        <v>190</v>
      </c>
      <c r="F85" s="11" t="s">
        <v>217</v>
      </c>
      <c r="G85" s="7" t="s">
        <v>63</v>
      </c>
      <c r="H85" s="7" t="s">
        <v>193</v>
      </c>
      <c r="I85" s="7" t="s">
        <v>194</v>
      </c>
      <c r="J85" s="7" t="n">
        <v>1</v>
      </c>
      <c r="K85" s="7" t="s">
        <v>294</v>
      </c>
      <c r="L85" s="7" t="s">
        <v>298</v>
      </c>
      <c r="M85" s="7"/>
    </row>
    <row r="86" customFormat="false" ht="23.85" hidden="false" customHeight="false" outlineLevel="0" collapsed="false">
      <c r="A86" s="7" t="s">
        <v>290</v>
      </c>
      <c r="B86" s="7" t="s">
        <v>107</v>
      </c>
      <c r="C86" s="7" t="s">
        <v>291</v>
      </c>
      <c r="D86" s="7" t="s">
        <v>113</v>
      </c>
      <c r="E86" s="7" t="s">
        <v>190</v>
      </c>
      <c r="F86" s="7" t="s">
        <v>219</v>
      </c>
      <c r="G86" s="7" t="s">
        <v>220</v>
      </c>
      <c r="H86" s="7" t="s">
        <v>193</v>
      </c>
      <c r="I86" s="7" t="s">
        <v>194</v>
      </c>
      <c r="J86" s="7" t="n">
        <v>1</v>
      </c>
      <c r="K86" s="7" t="s">
        <v>294</v>
      </c>
      <c r="L86" s="7" t="s">
        <v>298</v>
      </c>
      <c r="M86" s="7"/>
    </row>
    <row r="87" customFormat="false" ht="68.65" hidden="false" customHeight="false" outlineLevel="0" collapsed="false">
      <c r="A87" s="7" t="s">
        <v>290</v>
      </c>
      <c r="B87" s="7" t="s">
        <v>107</v>
      </c>
      <c r="C87" s="7" t="s">
        <v>291</v>
      </c>
      <c r="D87" s="7" t="s">
        <v>113</v>
      </c>
      <c r="E87" s="7" t="s">
        <v>190</v>
      </c>
      <c r="F87" s="15" t="s">
        <v>221</v>
      </c>
      <c r="G87" s="10" t="s">
        <v>299</v>
      </c>
      <c r="H87" s="10" t="s">
        <v>300</v>
      </c>
      <c r="I87" s="7" t="s">
        <v>194</v>
      </c>
      <c r="J87" s="7" t="n">
        <v>1</v>
      </c>
      <c r="K87" s="7" t="s">
        <v>301</v>
      </c>
      <c r="L87" s="7" t="s">
        <v>302</v>
      </c>
      <c r="M87" s="7" t="s">
        <v>303</v>
      </c>
    </row>
    <row r="88" customFormat="false" ht="35.05" hidden="false" customHeight="false" outlineLevel="0" collapsed="false">
      <c r="A88" s="7" t="s">
        <v>290</v>
      </c>
      <c r="B88" s="7" t="s">
        <v>107</v>
      </c>
      <c r="C88" s="7" t="s">
        <v>291</v>
      </c>
      <c r="D88" s="7" t="s">
        <v>113</v>
      </c>
      <c r="E88" s="7" t="s">
        <v>190</v>
      </c>
      <c r="F88" s="7" t="s">
        <v>225</v>
      </c>
      <c r="G88" s="7" t="s">
        <v>304</v>
      </c>
      <c r="H88" s="7" t="s">
        <v>193</v>
      </c>
      <c r="I88" s="7" t="s">
        <v>65</v>
      </c>
      <c r="J88" s="7" t="n">
        <v>1</v>
      </c>
      <c r="K88" s="7" t="s">
        <v>305</v>
      </c>
      <c r="L88" s="7" t="s">
        <v>306</v>
      </c>
      <c r="M88" s="7"/>
    </row>
    <row r="89" customFormat="false" ht="23.85" hidden="false" customHeight="false" outlineLevel="0" collapsed="false">
      <c r="A89" s="7" t="s">
        <v>290</v>
      </c>
      <c r="B89" s="7" t="s">
        <v>107</v>
      </c>
      <c r="C89" s="7" t="s">
        <v>291</v>
      </c>
      <c r="D89" s="7" t="s">
        <v>113</v>
      </c>
      <c r="E89" s="7" t="s">
        <v>190</v>
      </c>
      <c r="F89" s="11" t="s">
        <v>229</v>
      </c>
      <c r="G89" s="7" t="s">
        <v>307</v>
      </c>
      <c r="H89" s="7" t="s">
        <v>193</v>
      </c>
      <c r="I89" s="7" t="s">
        <v>194</v>
      </c>
      <c r="J89" s="7" t="n">
        <v>1</v>
      </c>
      <c r="K89" s="7" t="s">
        <v>308</v>
      </c>
      <c r="L89" s="7" t="s">
        <v>309</v>
      </c>
      <c r="M89" s="7"/>
    </row>
    <row r="90" customFormat="false" ht="23.85" hidden="false" customHeight="false" outlineLevel="0" collapsed="false">
      <c r="A90" s="7" t="s">
        <v>290</v>
      </c>
      <c r="B90" s="7" t="s">
        <v>107</v>
      </c>
      <c r="C90" s="7" t="s">
        <v>291</v>
      </c>
      <c r="D90" s="7" t="s">
        <v>113</v>
      </c>
      <c r="E90" s="7" t="s">
        <v>190</v>
      </c>
      <c r="F90" s="7" t="s">
        <v>233</v>
      </c>
      <c r="G90" s="7" t="s">
        <v>116</v>
      </c>
      <c r="H90" s="7" t="s">
        <v>193</v>
      </c>
      <c r="I90" s="7" t="s">
        <v>194</v>
      </c>
      <c r="J90" s="7" t="n">
        <v>1</v>
      </c>
      <c r="K90" s="7" t="s">
        <v>308</v>
      </c>
      <c r="L90" s="7" t="s">
        <v>309</v>
      </c>
      <c r="M90" s="7"/>
    </row>
    <row r="91" customFormat="false" ht="32.8" hidden="false" customHeight="false" outlineLevel="0" collapsed="false">
      <c r="A91" s="12" t="s">
        <v>290</v>
      </c>
      <c r="B91" s="12" t="s">
        <v>107</v>
      </c>
      <c r="C91" s="12" t="s">
        <v>291</v>
      </c>
      <c r="D91" s="12" t="s">
        <v>113</v>
      </c>
      <c r="E91" s="12" t="s">
        <v>190</v>
      </c>
      <c r="F91" s="12" t="s">
        <v>235</v>
      </c>
      <c r="G91" s="12" t="s">
        <v>236</v>
      </c>
      <c r="H91" s="12" t="s">
        <v>237</v>
      </c>
      <c r="I91" s="12" t="s">
        <v>237</v>
      </c>
      <c r="J91" s="12"/>
      <c r="K91" s="12"/>
      <c r="L91" s="12"/>
      <c r="M91" s="12" t="s">
        <v>238</v>
      </c>
    </row>
    <row r="92" customFormat="false" ht="23.85" hidden="false" customHeight="false" outlineLevel="0" collapsed="false">
      <c r="A92" s="7" t="s">
        <v>310</v>
      </c>
      <c r="B92" s="7" t="s">
        <v>119</v>
      </c>
      <c r="C92" s="7" t="s">
        <v>311</v>
      </c>
      <c r="D92" s="7" t="s">
        <v>65</v>
      </c>
      <c r="E92" s="7" t="s">
        <v>190</v>
      </c>
      <c r="F92" s="7" t="s">
        <v>191</v>
      </c>
      <c r="G92" s="7" t="s">
        <v>192</v>
      </c>
      <c r="H92" s="7" t="s">
        <v>193</v>
      </c>
      <c r="I92" s="7" t="s">
        <v>194</v>
      </c>
      <c r="J92" s="7"/>
      <c r="K92" s="7"/>
      <c r="L92" s="7"/>
      <c r="M92" s="7"/>
    </row>
    <row r="93" customFormat="false" ht="23.85" hidden="false" customHeight="false" outlineLevel="0" collapsed="false">
      <c r="A93" s="7" t="s">
        <v>310</v>
      </c>
      <c r="B93" s="7" t="s">
        <v>119</v>
      </c>
      <c r="C93" s="7" t="s">
        <v>311</v>
      </c>
      <c r="D93" s="7" t="s">
        <v>65</v>
      </c>
      <c r="E93" s="7" t="s">
        <v>190</v>
      </c>
      <c r="F93" s="7" t="s">
        <v>195</v>
      </c>
      <c r="G93" s="7" t="s">
        <v>256</v>
      </c>
      <c r="H93" s="7" t="s">
        <v>193</v>
      </c>
      <c r="I93" s="7" t="s">
        <v>194</v>
      </c>
      <c r="J93" s="7"/>
      <c r="K93" s="7"/>
      <c r="L93" s="7"/>
      <c r="M93" s="7"/>
    </row>
    <row r="94" customFormat="false" ht="23.85" hidden="false" customHeight="false" outlineLevel="0" collapsed="false">
      <c r="A94" s="7" t="s">
        <v>310</v>
      </c>
      <c r="B94" s="7" t="s">
        <v>119</v>
      </c>
      <c r="C94" s="7" t="s">
        <v>311</v>
      </c>
      <c r="D94" s="7" t="s">
        <v>65</v>
      </c>
      <c r="E94" s="7" t="s">
        <v>190</v>
      </c>
      <c r="F94" s="7" t="s">
        <v>197</v>
      </c>
      <c r="G94" s="7" t="s">
        <v>123</v>
      </c>
      <c r="H94" s="7" t="s">
        <v>193</v>
      </c>
      <c r="I94" s="7" t="s">
        <v>194</v>
      </c>
      <c r="J94" s="7" t="n">
        <v>1</v>
      </c>
      <c r="K94" s="7" t="s">
        <v>257</v>
      </c>
      <c r="L94" s="7"/>
      <c r="M94" s="7"/>
    </row>
    <row r="95" customFormat="false" ht="23.85" hidden="false" customHeight="false" outlineLevel="0" collapsed="false">
      <c r="A95" s="7" t="s">
        <v>310</v>
      </c>
      <c r="B95" s="7" t="s">
        <v>119</v>
      </c>
      <c r="C95" s="7" t="s">
        <v>311</v>
      </c>
      <c r="D95" s="7" t="s">
        <v>65</v>
      </c>
      <c r="E95" s="7" t="s">
        <v>190</v>
      </c>
      <c r="F95" s="7" t="s">
        <v>199</v>
      </c>
      <c r="G95" s="7" t="s">
        <v>121</v>
      </c>
      <c r="H95" s="7" t="s">
        <v>193</v>
      </c>
      <c r="I95" s="7" t="s">
        <v>194</v>
      </c>
      <c r="J95" s="7" t="n">
        <v>1</v>
      </c>
      <c r="K95" s="7" t="s">
        <v>257</v>
      </c>
      <c r="L95" s="7"/>
      <c r="M95" s="7"/>
    </row>
    <row r="96" customFormat="false" ht="23.85" hidden="false" customHeight="false" outlineLevel="0" collapsed="false">
      <c r="A96" s="7" t="s">
        <v>310</v>
      </c>
      <c r="B96" s="7" t="s">
        <v>119</v>
      </c>
      <c r="C96" s="7" t="s">
        <v>311</v>
      </c>
      <c r="D96" s="7" t="s">
        <v>65</v>
      </c>
      <c r="E96" s="7" t="s">
        <v>190</v>
      </c>
      <c r="F96" s="7" t="s">
        <v>200</v>
      </c>
      <c r="G96" s="7" t="s">
        <v>125</v>
      </c>
      <c r="H96" s="7" t="s">
        <v>193</v>
      </c>
      <c r="I96" s="7" t="s">
        <v>194</v>
      </c>
      <c r="J96" s="7"/>
      <c r="K96" s="7"/>
      <c r="L96" s="7"/>
      <c r="M96" s="7"/>
    </row>
    <row r="97" customFormat="false" ht="23.85" hidden="false" customHeight="false" outlineLevel="0" collapsed="false">
      <c r="A97" s="7" t="s">
        <v>310</v>
      </c>
      <c r="B97" s="7" t="s">
        <v>119</v>
      </c>
      <c r="C97" s="7" t="s">
        <v>311</v>
      </c>
      <c r="D97" s="7" t="s">
        <v>65</v>
      </c>
      <c r="E97" s="7" t="s">
        <v>190</v>
      </c>
      <c r="F97" s="7" t="s">
        <v>201</v>
      </c>
      <c r="G97" s="7" t="s">
        <v>124</v>
      </c>
      <c r="H97" s="7" t="s">
        <v>193</v>
      </c>
      <c r="I97" s="7" t="s">
        <v>194</v>
      </c>
      <c r="J97" s="7" t="n">
        <v>1</v>
      </c>
      <c r="K97" s="7" t="s">
        <v>257</v>
      </c>
      <c r="L97" s="7"/>
      <c r="M97" s="7"/>
    </row>
    <row r="98" customFormat="false" ht="23.85" hidden="false" customHeight="false" outlineLevel="0" collapsed="false">
      <c r="A98" s="7" t="s">
        <v>310</v>
      </c>
      <c r="B98" s="7" t="s">
        <v>119</v>
      </c>
      <c r="C98" s="7" t="s">
        <v>311</v>
      </c>
      <c r="D98" s="7" t="s">
        <v>65</v>
      </c>
      <c r="E98" s="7" t="s">
        <v>190</v>
      </c>
      <c r="F98" s="7" t="s">
        <v>202</v>
      </c>
      <c r="G98" s="7" t="s">
        <v>312</v>
      </c>
      <c r="H98" s="7" t="s">
        <v>193</v>
      </c>
      <c r="I98" s="7" t="s">
        <v>194</v>
      </c>
      <c r="J98" s="7"/>
      <c r="K98" s="7" t="s">
        <v>204</v>
      </c>
      <c r="L98" s="7"/>
      <c r="M98" s="7"/>
    </row>
    <row r="99" customFormat="false" ht="23.85" hidden="false" customHeight="false" outlineLevel="0" collapsed="false">
      <c r="A99" s="7" t="s">
        <v>310</v>
      </c>
      <c r="B99" s="7" t="s">
        <v>119</v>
      </c>
      <c r="C99" s="7" t="s">
        <v>311</v>
      </c>
      <c r="D99" s="7" t="s">
        <v>65</v>
      </c>
      <c r="E99" s="7" t="s">
        <v>190</v>
      </c>
      <c r="F99" s="7" t="s">
        <v>205</v>
      </c>
      <c r="G99" s="7" t="s">
        <v>313</v>
      </c>
      <c r="H99" s="7" t="s">
        <v>193</v>
      </c>
      <c r="I99" s="7" t="s">
        <v>194</v>
      </c>
      <c r="J99" s="7" t="n">
        <v>2</v>
      </c>
      <c r="K99" s="7" t="s">
        <v>261</v>
      </c>
      <c r="L99" s="7"/>
      <c r="M99" s="7"/>
    </row>
    <row r="100" customFormat="false" ht="23.85" hidden="false" customHeight="false" outlineLevel="0" collapsed="false">
      <c r="A100" s="7" t="s">
        <v>310</v>
      </c>
      <c r="B100" s="7" t="s">
        <v>119</v>
      </c>
      <c r="C100" s="7" t="s">
        <v>311</v>
      </c>
      <c r="D100" s="7" t="s">
        <v>65</v>
      </c>
      <c r="E100" s="7" t="s">
        <v>190</v>
      </c>
      <c r="F100" s="7" t="s">
        <v>209</v>
      </c>
      <c r="G100" s="7" t="s">
        <v>314</v>
      </c>
      <c r="H100" s="7" t="s">
        <v>193</v>
      </c>
      <c r="I100" s="7" t="s">
        <v>194</v>
      </c>
      <c r="J100" s="7" t="n">
        <v>1</v>
      </c>
      <c r="K100" s="7" t="s">
        <v>211</v>
      </c>
      <c r="L100" s="7" t="s">
        <v>315</v>
      </c>
      <c r="M100" s="7"/>
    </row>
    <row r="101" customFormat="false" ht="23.85" hidden="false" customHeight="false" outlineLevel="0" collapsed="false">
      <c r="A101" s="7" t="s">
        <v>310</v>
      </c>
      <c r="B101" s="7" t="s">
        <v>119</v>
      </c>
      <c r="C101" s="7" t="s">
        <v>311</v>
      </c>
      <c r="D101" s="7" t="s">
        <v>65</v>
      </c>
      <c r="E101" s="7" t="s">
        <v>190</v>
      </c>
      <c r="F101" s="7" t="s">
        <v>213</v>
      </c>
      <c r="G101" s="7" t="s">
        <v>220</v>
      </c>
      <c r="H101" s="7" t="s">
        <v>193</v>
      </c>
      <c r="I101" s="7" t="s">
        <v>194</v>
      </c>
      <c r="J101" s="7" t="n">
        <v>1</v>
      </c>
      <c r="K101" s="7" t="s">
        <v>211</v>
      </c>
      <c r="L101" s="7" t="s">
        <v>315</v>
      </c>
      <c r="M101" s="7"/>
    </row>
    <row r="102" customFormat="false" ht="23.85" hidden="false" customHeight="false" outlineLevel="0" collapsed="false">
      <c r="A102" s="7" t="s">
        <v>310</v>
      </c>
      <c r="B102" s="7" t="s">
        <v>119</v>
      </c>
      <c r="C102" s="7" t="s">
        <v>311</v>
      </c>
      <c r="D102" s="7" t="s">
        <v>65</v>
      </c>
      <c r="E102" s="7" t="s">
        <v>190</v>
      </c>
      <c r="F102" s="14" t="s">
        <v>215</v>
      </c>
      <c r="G102" s="13"/>
      <c r="H102" s="13" t="s">
        <v>247</v>
      </c>
      <c r="I102" s="7" t="s">
        <v>194</v>
      </c>
      <c r="J102" s="7"/>
      <c r="K102" s="7"/>
      <c r="L102" s="7"/>
      <c r="M102" s="7" t="s">
        <v>316</v>
      </c>
    </row>
    <row r="103" customFormat="false" ht="23.85" hidden="false" customHeight="false" outlineLevel="0" collapsed="false">
      <c r="A103" s="7" t="s">
        <v>310</v>
      </c>
      <c r="B103" s="7" t="s">
        <v>119</v>
      </c>
      <c r="C103" s="7" t="s">
        <v>311</v>
      </c>
      <c r="D103" s="7" t="s">
        <v>65</v>
      </c>
      <c r="E103" s="7" t="s">
        <v>190</v>
      </c>
      <c r="F103" s="11" t="s">
        <v>217</v>
      </c>
      <c r="G103" s="7" t="s">
        <v>63</v>
      </c>
      <c r="H103" s="7" t="s">
        <v>193</v>
      </c>
      <c r="I103" s="7" t="s">
        <v>194</v>
      </c>
      <c r="J103" s="7" t="n">
        <v>1</v>
      </c>
      <c r="K103" s="7" t="s">
        <v>211</v>
      </c>
      <c r="L103" s="7" t="s">
        <v>317</v>
      </c>
      <c r="M103" s="7"/>
    </row>
    <row r="104" customFormat="false" ht="23.85" hidden="false" customHeight="false" outlineLevel="0" collapsed="false">
      <c r="A104" s="7" t="s">
        <v>310</v>
      </c>
      <c r="B104" s="7" t="s">
        <v>119</v>
      </c>
      <c r="C104" s="7" t="s">
        <v>311</v>
      </c>
      <c r="D104" s="7" t="s">
        <v>65</v>
      </c>
      <c r="E104" s="7" t="s">
        <v>190</v>
      </c>
      <c r="F104" s="7" t="s">
        <v>219</v>
      </c>
      <c r="G104" s="7" t="s">
        <v>220</v>
      </c>
      <c r="H104" s="7" t="s">
        <v>193</v>
      </c>
      <c r="I104" s="7" t="s">
        <v>194</v>
      </c>
      <c r="J104" s="7" t="n">
        <v>1</v>
      </c>
      <c r="K104" s="7" t="s">
        <v>211</v>
      </c>
      <c r="L104" s="7" t="s">
        <v>317</v>
      </c>
      <c r="M104" s="7"/>
    </row>
    <row r="105" customFormat="false" ht="46.25" hidden="false" customHeight="false" outlineLevel="0" collapsed="false">
      <c r="A105" s="7" t="s">
        <v>310</v>
      </c>
      <c r="B105" s="7" t="s">
        <v>119</v>
      </c>
      <c r="C105" s="7" t="s">
        <v>311</v>
      </c>
      <c r="D105" s="7" t="s">
        <v>65</v>
      </c>
      <c r="E105" s="7" t="s">
        <v>190</v>
      </c>
      <c r="F105" s="11" t="s">
        <v>221</v>
      </c>
      <c r="G105" s="7" t="s">
        <v>318</v>
      </c>
      <c r="H105" s="7" t="s">
        <v>193</v>
      </c>
      <c r="I105" s="7" t="s">
        <v>194</v>
      </c>
      <c r="J105" s="7" t="n">
        <v>1</v>
      </c>
      <c r="K105" s="7" t="s">
        <v>319</v>
      </c>
      <c r="L105" s="7" t="s">
        <v>320</v>
      </c>
      <c r="M105" s="7" t="s">
        <v>321</v>
      </c>
    </row>
    <row r="106" customFormat="false" ht="46.25" hidden="false" customHeight="false" outlineLevel="0" collapsed="false">
      <c r="A106" s="7" t="s">
        <v>310</v>
      </c>
      <c r="B106" s="7" t="s">
        <v>119</v>
      </c>
      <c r="C106" s="7" t="s">
        <v>311</v>
      </c>
      <c r="D106" s="7" t="s">
        <v>65</v>
      </c>
      <c r="E106" s="7" t="s">
        <v>190</v>
      </c>
      <c r="F106" s="7" t="s">
        <v>225</v>
      </c>
      <c r="G106" s="7" t="s">
        <v>322</v>
      </c>
      <c r="H106" s="7" t="s">
        <v>193</v>
      </c>
      <c r="I106" s="7" t="s">
        <v>194</v>
      </c>
      <c r="J106" s="7" t="n">
        <v>1</v>
      </c>
      <c r="K106" s="7" t="s">
        <v>323</v>
      </c>
      <c r="L106" s="7" t="s">
        <v>324</v>
      </c>
      <c r="M106" s="7"/>
    </row>
    <row r="107" customFormat="false" ht="23.85" hidden="false" customHeight="false" outlineLevel="0" collapsed="false">
      <c r="A107" s="7" t="s">
        <v>310</v>
      </c>
      <c r="B107" s="7" t="s">
        <v>119</v>
      </c>
      <c r="C107" s="7" t="s">
        <v>311</v>
      </c>
      <c r="D107" s="7" t="s">
        <v>65</v>
      </c>
      <c r="E107" s="7" t="s">
        <v>190</v>
      </c>
      <c r="F107" s="11" t="s">
        <v>229</v>
      </c>
      <c r="G107" s="7" t="s">
        <v>325</v>
      </c>
      <c r="H107" s="7" t="s">
        <v>193</v>
      </c>
      <c r="I107" s="7" t="s">
        <v>194</v>
      </c>
      <c r="J107" s="7" t="n">
        <v>1</v>
      </c>
      <c r="K107" s="7" t="s">
        <v>227</v>
      </c>
      <c r="L107" s="7" t="s">
        <v>326</v>
      </c>
      <c r="M107" s="7"/>
    </row>
    <row r="108" customFormat="false" ht="23.85" hidden="false" customHeight="false" outlineLevel="0" collapsed="false">
      <c r="A108" s="7" t="s">
        <v>310</v>
      </c>
      <c r="B108" s="7" t="s">
        <v>119</v>
      </c>
      <c r="C108" s="7" t="s">
        <v>311</v>
      </c>
      <c r="D108" s="7" t="s">
        <v>65</v>
      </c>
      <c r="E108" s="7" t="s">
        <v>190</v>
      </c>
      <c r="F108" s="7" t="s">
        <v>233</v>
      </c>
      <c r="G108" s="7" t="s">
        <v>70</v>
      </c>
      <c r="H108" s="7" t="s">
        <v>193</v>
      </c>
      <c r="I108" s="7" t="s">
        <v>194</v>
      </c>
      <c r="J108" s="7" t="n">
        <v>1</v>
      </c>
      <c r="K108" s="7" t="s">
        <v>227</v>
      </c>
      <c r="L108" s="7" t="s">
        <v>326</v>
      </c>
      <c r="M108" s="7"/>
    </row>
    <row r="109" customFormat="false" ht="32.8" hidden="false" customHeight="false" outlineLevel="0" collapsed="false">
      <c r="A109" s="12" t="s">
        <v>310</v>
      </c>
      <c r="B109" s="12" t="s">
        <v>119</v>
      </c>
      <c r="C109" s="12" t="s">
        <v>311</v>
      </c>
      <c r="D109" s="12" t="s">
        <v>65</v>
      </c>
      <c r="E109" s="12" t="s">
        <v>190</v>
      </c>
      <c r="F109" s="12" t="s">
        <v>235</v>
      </c>
      <c r="G109" s="12" t="s">
        <v>236</v>
      </c>
      <c r="H109" s="12" t="s">
        <v>237</v>
      </c>
      <c r="I109" s="12" t="s">
        <v>237</v>
      </c>
      <c r="J109" s="12"/>
      <c r="K109" s="12"/>
      <c r="L109" s="12"/>
      <c r="M109" s="12" t="s">
        <v>238</v>
      </c>
    </row>
    <row r="110" customFormat="false" ht="23.85" hidden="false" customHeight="false" outlineLevel="0" collapsed="false">
      <c r="A110" s="7" t="s">
        <v>327</v>
      </c>
      <c r="B110" s="7" t="s">
        <v>132</v>
      </c>
      <c r="C110" s="7" t="s">
        <v>328</v>
      </c>
      <c r="D110" s="7" t="s">
        <v>113</v>
      </c>
      <c r="E110" s="7" t="s">
        <v>329</v>
      </c>
      <c r="F110" s="7" t="s">
        <v>191</v>
      </c>
      <c r="G110" s="7" t="s">
        <v>192</v>
      </c>
      <c r="H110" s="7" t="s">
        <v>193</v>
      </c>
      <c r="I110" s="7" t="s">
        <v>65</v>
      </c>
      <c r="J110" s="7"/>
      <c r="K110" s="7"/>
      <c r="L110" s="7"/>
      <c r="M110" s="7" t="s">
        <v>330</v>
      </c>
    </row>
    <row r="111" customFormat="false" ht="23.85" hidden="false" customHeight="false" outlineLevel="0" collapsed="false">
      <c r="A111" s="7" t="s">
        <v>327</v>
      </c>
      <c r="B111" s="7" t="s">
        <v>132</v>
      </c>
      <c r="C111" s="7" t="s">
        <v>328</v>
      </c>
      <c r="D111" s="7" t="s">
        <v>113</v>
      </c>
      <c r="E111" s="7" t="s">
        <v>329</v>
      </c>
      <c r="F111" s="7" t="s">
        <v>195</v>
      </c>
      <c r="G111" s="7" t="s">
        <v>196</v>
      </c>
      <c r="H111" s="7" t="s">
        <v>193</v>
      </c>
      <c r="I111" s="7" t="s">
        <v>194</v>
      </c>
      <c r="J111" s="7"/>
      <c r="K111" s="7"/>
      <c r="L111" s="7"/>
      <c r="M111" s="7"/>
    </row>
    <row r="112" customFormat="false" ht="23.85" hidden="false" customHeight="false" outlineLevel="0" collapsed="false">
      <c r="A112" s="7" t="s">
        <v>327</v>
      </c>
      <c r="B112" s="7" t="s">
        <v>132</v>
      </c>
      <c r="C112" s="7" t="s">
        <v>328</v>
      </c>
      <c r="D112" s="7" t="s">
        <v>113</v>
      </c>
      <c r="E112" s="7" t="s">
        <v>329</v>
      </c>
      <c r="F112" s="7" t="s">
        <v>197</v>
      </c>
      <c r="G112" s="7" t="s">
        <v>133</v>
      </c>
      <c r="H112" s="7" t="s">
        <v>193</v>
      </c>
      <c r="I112" s="7" t="s">
        <v>65</v>
      </c>
      <c r="J112" s="7" t="n">
        <v>1</v>
      </c>
      <c r="K112" s="7" t="s">
        <v>198</v>
      </c>
      <c r="L112" s="7"/>
      <c r="M112" s="7"/>
    </row>
    <row r="113" customFormat="false" ht="23.85" hidden="false" customHeight="false" outlineLevel="0" collapsed="false">
      <c r="A113" s="7" t="s">
        <v>327</v>
      </c>
      <c r="B113" s="7" t="s">
        <v>132</v>
      </c>
      <c r="C113" s="7" t="s">
        <v>328</v>
      </c>
      <c r="D113" s="7" t="s">
        <v>113</v>
      </c>
      <c r="E113" s="7" t="s">
        <v>329</v>
      </c>
      <c r="F113" s="7" t="s">
        <v>199</v>
      </c>
      <c r="G113" s="7" t="s">
        <v>121</v>
      </c>
      <c r="H113" s="7" t="s">
        <v>193</v>
      </c>
      <c r="I113" s="7" t="s">
        <v>65</v>
      </c>
      <c r="J113" s="7" t="n">
        <v>1</v>
      </c>
      <c r="K113" s="7" t="s">
        <v>198</v>
      </c>
      <c r="L113" s="7"/>
      <c r="M113" s="7"/>
    </row>
    <row r="114" customFormat="false" ht="23.85" hidden="false" customHeight="false" outlineLevel="0" collapsed="false">
      <c r="A114" s="7" t="s">
        <v>327</v>
      </c>
      <c r="B114" s="7" t="s">
        <v>132</v>
      </c>
      <c r="C114" s="7" t="s">
        <v>328</v>
      </c>
      <c r="D114" s="7" t="s">
        <v>113</v>
      </c>
      <c r="E114" s="7" t="s">
        <v>329</v>
      </c>
      <c r="F114" s="7" t="s">
        <v>200</v>
      </c>
      <c r="G114" s="7" t="s">
        <v>331</v>
      </c>
      <c r="H114" s="7" t="s">
        <v>193</v>
      </c>
      <c r="I114" s="7" t="s">
        <v>65</v>
      </c>
      <c r="J114" s="7"/>
      <c r="K114" s="7"/>
      <c r="L114" s="7"/>
      <c r="M114" s="7"/>
    </row>
    <row r="115" customFormat="false" ht="23.85" hidden="false" customHeight="false" outlineLevel="0" collapsed="false">
      <c r="A115" s="7" t="s">
        <v>327</v>
      </c>
      <c r="B115" s="7" t="s">
        <v>132</v>
      </c>
      <c r="C115" s="7" t="s">
        <v>328</v>
      </c>
      <c r="D115" s="7" t="s">
        <v>113</v>
      </c>
      <c r="E115" s="7" t="s">
        <v>329</v>
      </c>
      <c r="F115" s="7" t="s">
        <v>201</v>
      </c>
      <c r="G115" s="7" t="s">
        <v>134</v>
      </c>
      <c r="H115" s="7" t="s">
        <v>193</v>
      </c>
      <c r="I115" s="7" t="s">
        <v>65</v>
      </c>
      <c r="J115" s="7" t="n">
        <v>1</v>
      </c>
      <c r="K115" s="7" t="s">
        <v>198</v>
      </c>
      <c r="L115" s="7"/>
      <c r="M115" s="7" t="s">
        <v>332</v>
      </c>
    </row>
    <row r="116" customFormat="false" ht="23.85" hidden="false" customHeight="false" outlineLevel="0" collapsed="false">
      <c r="A116" s="7" t="s">
        <v>327</v>
      </c>
      <c r="B116" s="7" t="s">
        <v>132</v>
      </c>
      <c r="C116" s="7" t="s">
        <v>328</v>
      </c>
      <c r="D116" s="7" t="s">
        <v>113</v>
      </c>
      <c r="E116" s="7" t="s">
        <v>329</v>
      </c>
      <c r="F116" s="7" t="s">
        <v>202</v>
      </c>
      <c r="G116" s="7" t="s">
        <v>203</v>
      </c>
      <c r="H116" s="7" t="s">
        <v>193</v>
      </c>
      <c r="I116" s="7" t="s">
        <v>65</v>
      </c>
      <c r="J116" s="7"/>
      <c r="K116" s="7" t="s">
        <v>204</v>
      </c>
      <c r="L116" s="7"/>
      <c r="M116" s="7"/>
    </row>
    <row r="117" customFormat="false" ht="23.85" hidden="false" customHeight="false" outlineLevel="0" collapsed="false">
      <c r="A117" s="7" t="s">
        <v>327</v>
      </c>
      <c r="B117" s="7" t="s">
        <v>132</v>
      </c>
      <c r="C117" s="7" t="s">
        <v>328</v>
      </c>
      <c r="D117" s="7" t="s">
        <v>113</v>
      </c>
      <c r="E117" s="7" t="s">
        <v>329</v>
      </c>
      <c r="F117" s="7" t="s">
        <v>205</v>
      </c>
      <c r="G117" s="7" t="s">
        <v>333</v>
      </c>
      <c r="H117" s="7" t="s">
        <v>193</v>
      </c>
      <c r="I117" s="7" t="s">
        <v>65</v>
      </c>
      <c r="J117" s="7" t="n">
        <v>2</v>
      </c>
      <c r="K117" s="7" t="s">
        <v>207</v>
      </c>
      <c r="L117" s="7"/>
      <c r="M117" s="7"/>
    </row>
    <row r="118" customFormat="false" ht="23.85" hidden="false" customHeight="false" outlineLevel="0" collapsed="false">
      <c r="A118" s="7" t="s">
        <v>327</v>
      </c>
      <c r="B118" s="7" t="s">
        <v>132</v>
      </c>
      <c r="C118" s="7" t="s">
        <v>328</v>
      </c>
      <c r="D118" s="7" t="s">
        <v>113</v>
      </c>
      <c r="E118" s="7" t="s">
        <v>329</v>
      </c>
      <c r="F118" s="7" t="s">
        <v>209</v>
      </c>
      <c r="G118" s="7" t="s">
        <v>334</v>
      </c>
      <c r="H118" s="7" t="s">
        <v>193</v>
      </c>
      <c r="I118" s="7" t="s">
        <v>65</v>
      </c>
      <c r="J118" s="7" t="n">
        <v>1</v>
      </c>
      <c r="K118" s="7" t="s">
        <v>211</v>
      </c>
      <c r="L118" s="7" t="s">
        <v>335</v>
      </c>
      <c r="M118" s="7"/>
    </row>
    <row r="119" customFormat="false" ht="23.85" hidden="false" customHeight="false" outlineLevel="0" collapsed="false">
      <c r="A119" s="7" t="s">
        <v>327</v>
      </c>
      <c r="B119" s="7" t="s">
        <v>132</v>
      </c>
      <c r="C119" s="7" t="s">
        <v>328</v>
      </c>
      <c r="D119" s="7" t="s">
        <v>113</v>
      </c>
      <c r="E119" s="7" t="s">
        <v>329</v>
      </c>
      <c r="F119" s="7" t="s">
        <v>213</v>
      </c>
      <c r="G119" s="7" t="s">
        <v>220</v>
      </c>
      <c r="H119" s="7" t="s">
        <v>193</v>
      </c>
      <c r="I119" s="7" t="s">
        <v>65</v>
      </c>
      <c r="J119" s="7" t="n">
        <v>1</v>
      </c>
      <c r="K119" s="7" t="s">
        <v>211</v>
      </c>
      <c r="L119" s="7" t="s">
        <v>335</v>
      </c>
      <c r="M119" s="7"/>
    </row>
    <row r="120" customFormat="false" ht="23.85" hidden="false" customHeight="false" outlineLevel="0" collapsed="false">
      <c r="A120" s="7" t="s">
        <v>327</v>
      </c>
      <c r="B120" s="7" t="s">
        <v>132</v>
      </c>
      <c r="C120" s="7" t="s">
        <v>328</v>
      </c>
      <c r="D120" s="7" t="s">
        <v>113</v>
      </c>
      <c r="E120" s="7" t="s">
        <v>329</v>
      </c>
      <c r="F120" s="14" t="s">
        <v>215</v>
      </c>
      <c r="G120" s="13"/>
      <c r="H120" s="13" t="s">
        <v>247</v>
      </c>
      <c r="I120" s="7" t="s">
        <v>194</v>
      </c>
      <c r="J120" s="7"/>
      <c r="K120" s="7"/>
      <c r="L120" s="7"/>
      <c r="M120" s="7" t="s">
        <v>336</v>
      </c>
    </row>
    <row r="121" customFormat="false" ht="23.85" hidden="false" customHeight="false" outlineLevel="0" collapsed="false">
      <c r="A121" s="7" t="s">
        <v>327</v>
      </c>
      <c r="B121" s="7" t="s">
        <v>132</v>
      </c>
      <c r="C121" s="7" t="s">
        <v>328</v>
      </c>
      <c r="D121" s="7" t="s">
        <v>113</v>
      </c>
      <c r="E121" s="7" t="s">
        <v>329</v>
      </c>
      <c r="F121" s="11" t="s">
        <v>217</v>
      </c>
      <c r="G121" s="7" t="s">
        <v>63</v>
      </c>
      <c r="H121" s="7" t="s">
        <v>193</v>
      </c>
      <c r="I121" s="7" t="s">
        <v>65</v>
      </c>
      <c r="J121" s="7" t="n">
        <v>1</v>
      </c>
      <c r="K121" s="7" t="s">
        <v>211</v>
      </c>
      <c r="L121" s="7" t="s">
        <v>337</v>
      </c>
      <c r="M121" s="7"/>
    </row>
    <row r="122" customFormat="false" ht="23.85" hidden="false" customHeight="false" outlineLevel="0" collapsed="false">
      <c r="A122" s="7" t="s">
        <v>327</v>
      </c>
      <c r="B122" s="7" t="s">
        <v>132</v>
      </c>
      <c r="C122" s="7" t="s">
        <v>328</v>
      </c>
      <c r="D122" s="7" t="s">
        <v>113</v>
      </c>
      <c r="E122" s="7" t="s">
        <v>329</v>
      </c>
      <c r="F122" s="7" t="s">
        <v>219</v>
      </c>
      <c r="G122" s="7" t="s">
        <v>220</v>
      </c>
      <c r="H122" s="7" t="s">
        <v>193</v>
      </c>
      <c r="I122" s="7" t="s">
        <v>65</v>
      </c>
      <c r="J122" s="7" t="n">
        <v>1</v>
      </c>
      <c r="K122" s="7" t="s">
        <v>211</v>
      </c>
      <c r="L122" s="7" t="s">
        <v>337</v>
      </c>
      <c r="M122" s="7"/>
    </row>
    <row r="123" customFormat="false" ht="23.85" hidden="false" customHeight="false" outlineLevel="0" collapsed="false">
      <c r="A123" s="7" t="s">
        <v>327</v>
      </c>
      <c r="B123" s="7" t="s">
        <v>132</v>
      </c>
      <c r="C123" s="7" t="s">
        <v>328</v>
      </c>
      <c r="D123" s="7" t="s">
        <v>113</v>
      </c>
      <c r="E123" s="7" t="s">
        <v>329</v>
      </c>
      <c r="F123" s="11" t="s">
        <v>221</v>
      </c>
      <c r="G123" s="7" t="s">
        <v>338</v>
      </c>
      <c r="H123" s="7" t="s">
        <v>193</v>
      </c>
      <c r="I123" s="7" t="s">
        <v>65</v>
      </c>
      <c r="J123" s="7" t="n">
        <v>1</v>
      </c>
      <c r="K123" s="7" t="s">
        <v>223</v>
      </c>
      <c r="L123" s="7" t="s">
        <v>339</v>
      </c>
      <c r="M123" s="7"/>
    </row>
    <row r="124" customFormat="false" ht="35.05" hidden="false" customHeight="false" outlineLevel="0" collapsed="false">
      <c r="A124" s="7" t="s">
        <v>327</v>
      </c>
      <c r="B124" s="7" t="s">
        <v>132</v>
      </c>
      <c r="C124" s="7" t="s">
        <v>328</v>
      </c>
      <c r="D124" s="7" t="s">
        <v>113</v>
      </c>
      <c r="E124" s="7" t="s">
        <v>329</v>
      </c>
      <c r="F124" s="7" t="s">
        <v>225</v>
      </c>
      <c r="G124" s="7" t="s">
        <v>340</v>
      </c>
      <c r="H124" s="7" t="s">
        <v>193</v>
      </c>
      <c r="I124" s="7" t="s">
        <v>65</v>
      </c>
      <c r="J124" s="7" t="n">
        <v>1</v>
      </c>
      <c r="K124" s="7" t="s">
        <v>227</v>
      </c>
      <c r="L124" s="7" t="s">
        <v>341</v>
      </c>
      <c r="M124" s="7"/>
    </row>
    <row r="125" customFormat="false" ht="23.85" hidden="false" customHeight="false" outlineLevel="0" collapsed="false">
      <c r="A125" s="7" t="s">
        <v>327</v>
      </c>
      <c r="B125" s="7" t="s">
        <v>132</v>
      </c>
      <c r="C125" s="7" t="s">
        <v>328</v>
      </c>
      <c r="D125" s="7" t="s">
        <v>113</v>
      </c>
      <c r="E125" s="7" t="s">
        <v>329</v>
      </c>
      <c r="F125" s="11" t="s">
        <v>229</v>
      </c>
      <c r="G125" s="7" t="s">
        <v>342</v>
      </c>
      <c r="H125" s="7" t="s">
        <v>193</v>
      </c>
      <c r="I125" s="7" t="s">
        <v>65</v>
      </c>
      <c r="J125" s="7" t="n">
        <v>1</v>
      </c>
      <c r="K125" s="7" t="s">
        <v>231</v>
      </c>
      <c r="L125" s="7" t="s">
        <v>343</v>
      </c>
      <c r="M125" s="7" t="s">
        <v>344</v>
      </c>
    </row>
    <row r="126" customFormat="false" ht="23.85" hidden="false" customHeight="false" outlineLevel="0" collapsed="false">
      <c r="A126" s="7" t="s">
        <v>327</v>
      </c>
      <c r="B126" s="7" t="s">
        <v>132</v>
      </c>
      <c r="C126" s="7" t="s">
        <v>328</v>
      </c>
      <c r="D126" s="7" t="s">
        <v>113</v>
      </c>
      <c r="E126" s="7" t="s">
        <v>329</v>
      </c>
      <c r="F126" s="7" t="s">
        <v>233</v>
      </c>
      <c r="G126" s="7" t="s">
        <v>70</v>
      </c>
      <c r="H126" s="7" t="s">
        <v>193</v>
      </c>
      <c r="I126" s="7" t="s">
        <v>65</v>
      </c>
      <c r="J126" s="7"/>
      <c r="K126" s="7" t="s">
        <v>231</v>
      </c>
      <c r="L126" s="7"/>
      <c r="M126" s="7"/>
    </row>
    <row r="127" customFormat="false" ht="32.8" hidden="false" customHeight="false" outlineLevel="0" collapsed="false">
      <c r="A127" s="12" t="s">
        <v>327</v>
      </c>
      <c r="B127" s="12" t="s">
        <v>132</v>
      </c>
      <c r="C127" s="12" t="s">
        <v>328</v>
      </c>
      <c r="D127" s="12" t="s">
        <v>113</v>
      </c>
      <c r="E127" s="12" t="s">
        <v>329</v>
      </c>
      <c r="F127" s="12" t="s">
        <v>235</v>
      </c>
      <c r="G127" s="12" t="s">
        <v>236</v>
      </c>
      <c r="H127" s="12" t="s">
        <v>237</v>
      </c>
      <c r="I127" s="12" t="s">
        <v>237</v>
      </c>
      <c r="J127" s="12"/>
      <c r="K127" s="12"/>
      <c r="L127" s="12"/>
      <c r="M127" s="12" t="s">
        <v>238</v>
      </c>
    </row>
    <row r="128" customFormat="false" ht="23.85" hidden="false" customHeight="false" outlineLevel="0" collapsed="false">
      <c r="A128" s="7" t="s">
        <v>345</v>
      </c>
      <c r="B128" s="7" t="s">
        <v>139</v>
      </c>
      <c r="C128" s="7" t="s">
        <v>346</v>
      </c>
      <c r="D128" s="7" t="s">
        <v>83</v>
      </c>
      <c r="E128" s="7" t="s">
        <v>190</v>
      </c>
      <c r="F128" s="7" t="s">
        <v>191</v>
      </c>
      <c r="G128" s="7" t="s">
        <v>192</v>
      </c>
      <c r="H128" s="7" t="s">
        <v>193</v>
      </c>
      <c r="I128" s="7" t="s">
        <v>194</v>
      </c>
      <c r="J128" s="7"/>
      <c r="K128" s="7"/>
      <c r="L128" s="7"/>
      <c r="M128" s="7"/>
    </row>
    <row r="129" customFormat="false" ht="23.85" hidden="false" customHeight="false" outlineLevel="0" collapsed="false">
      <c r="A129" s="7" t="s">
        <v>345</v>
      </c>
      <c r="B129" s="7" t="s">
        <v>139</v>
      </c>
      <c r="C129" s="7" t="s">
        <v>346</v>
      </c>
      <c r="D129" s="7" t="s">
        <v>83</v>
      </c>
      <c r="E129" s="7" t="s">
        <v>190</v>
      </c>
      <c r="F129" s="7" t="s">
        <v>195</v>
      </c>
      <c r="G129" s="7" t="s">
        <v>196</v>
      </c>
      <c r="H129" s="7" t="s">
        <v>193</v>
      </c>
      <c r="I129" s="7" t="s">
        <v>194</v>
      </c>
      <c r="J129" s="7"/>
      <c r="K129" s="7"/>
      <c r="L129" s="7"/>
      <c r="M129" s="7"/>
    </row>
    <row r="130" customFormat="false" ht="23.85" hidden="false" customHeight="false" outlineLevel="0" collapsed="false">
      <c r="A130" s="7" t="s">
        <v>345</v>
      </c>
      <c r="B130" s="7" t="s">
        <v>139</v>
      </c>
      <c r="C130" s="7" t="s">
        <v>346</v>
      </c>
      <c r="D130" s="7" t="s">
        <v>83</v>
      </c>
      <c r="E130" s="7" t="s">
        <v>190</v>
      </c>
      <c r="F130" s="7" t="s">
        <v>197</v>
      </c>
      <c r="G130" s="7" t="s">
        <v>142</v>
      </c>
      <c r="H130" s="7" t="s">
        <v>193</v>
      </c>
      <c r="I130" s="7" t="s">
        <v>194</v>
      </c>
      <c r="J130" s="7" t="n">
        <v>1</v>
      </c>
      <c r="K130" s="7" t="s">
        <v>198</v>
      </c>
      <c r="L130" s="7"/>
      <c r="M130" s="7"/>
    </row>
    <row r="131" customFormat="false" ht="23.85" hidden="false" customHeight="false" outlineLevel="0" collapsed="false">
      <c r="A131" s="7" t="s">
        <v>345</v>
      </c>
      <c r="B131" s="7" t="s">
        <v>139</v>
      </c>
      <c r="C131" s="7" t="s">
        <v>346</v>
      </c>
      <c r="D131" s="7" t="s">
        <v>83</v>
      </c>
      <c r="E131" s="7" t="s">
        <v>190</v>
      </c>
      <c r="F131" s="7" t="s">
        <v>199</v>
      </c>
      <c r="G131" s="7" t="s">
        <v>141</v>
      </c>
      <c r="H131" s="7" t="s">
        <v>193</v>
      </c>
      <c r="I131" s="7" t="s">
        <v>194</v>
      </c>
      <c r="J131" s="7" t="n">
        <v>1</v>
      </c>
      <c r="K131" s="7" t="s">
        <v>198</v>
      </c>
      <c r="L131" s="7"/>
      <c r="M131" s="7"/>
    </row>
    <row r="132" customFormat="false" ht="23.85" hidden="false" customHeight="false" outlineLevel="0" collapsed="false">
      <c r="A132" s="7" t="s">
        <v>345</v>
      </c>
      <c r="B132" s="7" t="s">
        <v>139</v>
      </c>
      <c r="C132" s="7" t="s">
        <v>346</v>
      </c>
      <c r="D132" s="7" t="s">
        <v>83</v>
      </c>
      <c r="E132" s="7" t="s">
        <v>190</v>
      </c>
      <c r="F132" s="7" t="s">
        <v>200</v>
      </c>
      <c r="G132" s="7" t="s">
        <v>144</v>
      </c>
      <c r="H132" s="7" t="s">
        <v>193</v>
      </c>
      <c r="I132" s="7" t="s">
        <v>194</v>
      </c>
      <c r="J132" s="7"/>
      <c r="K132" s="7"/>
      <c r="L132" s="7"/>
      <c r="M132" s="7"/>
    </row>
    <row r="133" customFormat="false" ht="23.85" hidden="false" customHeight="false" outlineLevel="0" collapsed="false">
      <c r="A133" s="7" t="s">
        <v>345</v>
      </c>
      <c r="B133" s="7" t="s">
        <v>139</v>
      </c>
      <c r="C133" s="7" t="s">
        <v>346</v>
      </c>
      <c r="D133" s="7" t="s">
        <v>83</v>
      </c>
      <c r="E133" s="7" t="s">
        <v>190</v>
      </c>
      <c r="F133" s="7" t="s">
        <v>201</v>
      </c>
      <c r="G133" s="7" t="s">
        <v>143</v>
      </c>
      <c r="H133" s="7" t="s">
        <v>193</v>
      </c>
      <c r="I133" s="7" t="s">
        <v>194</v>
      </c>
      <c r="J133" s="7" t="n">
        <v>1</v>
      </c>
      <c r="K133" s="7" t="s">
        <v>198</v>
      </c>
      <c r="L133" s="7"/>
      <c r="M133" s="7"/>
    </row>
    <row r="134" customFormat="false" ht="23.85" hidden="false" customHeight="false" outlineLevel="0" collapsed="false">
      <c r="A134" s="7" t="s">
        <v>345</v>
      </c>
      <c r="B134" s="7" t="s">
        <v>139</v>
      </c>
      <c r="C134" s="7" t="s">
        <v>346</v>
      </c>
      <c r="D134" s="7" t="s">
        <v>83</v>
      </c>
      <c r="E134" s="7" t="s">
        <v>190</v>
      </c>
      <c r="F134" s="7" t="s">
        <v>202</v>
      </c>
      <c r="G134" s="7" t="s">
        <v>274</v>
      </c>
      <c r="H134" s="7" t="s">
        <v>193</v>
      </c>
      <c r="I134" s="7" t="s">
        <v>90</v>
      </c>
      <c r="J134" s="7"/>
      <c r="K134" s="7" t="s">
        <v>204</v>
      </c>
      <c r="L134" s="7"/>
      <c r="M134" s="7" t="s">
        <v>347</v>
      </c>
    </row>
    <row r="135" customFormat="false" ht="23.85" hidden="false" customHeight="false" outlineLevel="0" collapsed="false">
      <c r="A135" s="7" t="s">
        <v>345</v>
      </c>
      <c r="B135" s="7" t="s">
        <v>139</v>
      </c>
      <c r="C135" s="7" t="s">
        <v>346</v>
      </c>
      <c r="D135" s="7" t="s">
        <v>83</v>
      </c>
      <c r="E135" s="7" t="s">
        <v>190</v>
      </c>
      <c r="F135" s="7" t="s">
        <v>205</v>
      </c>
      <c r="G135" s="7" t="s">
        <v>348</v>
      </c>
      <c r="H135" s="7" t="s">
        <v>193</v>
      </c>
      <c r="I135" s="7" t="s">
        <v>194</v>
      </c>
      <c r="J135" s="7" t="n">
        <v>2</v>
      </c>
      <c r="K135" s="7" t="s">
        <v>207</v>
      </c>
      <c r="L135" s="7"/>
      <c r="M135" s="7"/>
    </row>
    <row r="136" customFormat="false" ht="23.85" hidden="false" customHeight="false" outlineLevel="0" collapsed="false">
      <c r="A136" s="7" t="s">
        <v>345</v>
      </c>
      <c r="B136" s="7" t="s">
        <v>139</v>
      </c>
      <c r="C136" s="7" t="s">
        <v>346</v>
      </c>
      <c r="D136" s="7" t="s">
        <v>83</v>
      </c>
      <c r="E136" s="7" t="s">
        <v>190</v>
      </c>
      <c r="F136" s="7" t="s">
        <v>209</v>
      </c>
      <c r="G136" s="7" t="s">
        <v>349</v>
      </c>
      <c r="H136" s="7" t="s">
        <v>193</v>
      </c>
      <c r="I136" s="7" t="s">
        <v>194</v>
      </c>
      <c r="J136" s="7" t="n">
        <v>1</v>
      </c>
      <c r="K136" s="7" t="s">
        <v>211</v>
      </c>
      <c r="L136" s="7" t="s">
        <v>350</v>
      </c>
      <c r="M136" s="7"/>
    </row>
    <row r="137" customFormat="false" ht="23.85" hidden="false" customHeight="false" outlineLevel="0" collapsed="false">
      <c r="A137" s="7" t="s">
        <v>345</v>
      </c>
      <c r="B137" s="7" t="s">
        <v>139</v>
      </c>
      <c r="C137" s="7" t="s">
        <v>346</v>
      </c>
      <c r="D137" s="7" t="s">
        <v>83</v>
      </c>
      <c r="E137" s="7" t="s">
        <v>190</v>
      </c>
      <c r="F137" s="7" t="s">
        <v>213</v>
      </c>
      <c r="G137" s="7" t="s">
        <v>296</v>
      </c>
      <c r="H137" s="7" t="s">
        <v>193</v>
      </c>
      <c r="I137" s="7" t="s">
        <v>194</v>
      </c>
      <c r="J137" s="7" t="n">
        <v>1</v>
      </c>
      <c r="K137" s="7" t="s">
        <v>211</v>
      </c>
      <c r="L137" s="7" t="s">
        <v>350</v>
      </c>
      <c r="M137" s="7"/>
    </row>
    <row r="138" customFormat="false" ht="23.85" hidden="false" customHeight="false" outlineLevel="0" collapsed="false">
      <c r="A138" s="7" t="s">
        <v>345</v>
      </c>
      <c r="B138" s="7" t="s">
        <v>139</v>
      </c>
      <c r="C138" s="7" t="s">
        <v>346</v>
      </c>
      <c r="D138" s="7" t="s">
        <v>83</v>
      </c>
      <c r="E138" s="7" t="s">
        <v>190</v>
      </c>
      <c r="F138" s="11" t="s">
        <v>215</v>
      </c>
      <c r="G138" s="7" t="s">
        <v>351</v>
      </c>
      <c r="H138" s="7" t="s">
        <v>193</v>
      </c>
      <c r="I138" s="7" t="s">
        <v>194</v>
      </c>
      <c r="J138" s="7" t="n">
        <v>1</v>
      </c>
      <c r="K138" s="7" t="s">
        <v>211</v>
      </c>
      <c r="L138" s="7" t="s">
        <v>350</v>
      </c>
      <c r="M138" s="7"/>
    </row>
    <row r="139" customFormat="false" ht="23.85" hidden="false" customHeight="false" outlineLevel="0" collapsed="false">
      <c r="A139" s="7" t="s">
        <v>345</v>
      </c>
      <c r="B139" s="7" t="s">
        <v>139</v>
      </c>
      <c r="C139" s="7" t="s">
        <v>346</v>
      </c>
      <c r="D139" s="7" t="s">
        <v>83</v>
      </c>
      <c r="E139" s="7" t="s">
        <v>190</v>
      </c>
      <c r="F139" s="11" t="s">
        <v>217</v>
      </c>
      <c r="G139" s="7" t="s">
        <v>63</v>
      </c>
      <c r="H139" s="7" t="s">
        <v>193</v>
      </c>
      <c r="I139" s="7" t="s">
        <v>194</v>
      </c>
      <c r="J139" s="7" t="n">
        <v>1</v>
      </c>
      <c r="K139" s="7" t="s">
        <v>211</v>
      </c>
      <c r="L139" s="7" t="s">
        <v>352</v>
      </c>
      <c r="M139" s="7"/>
    </row>
    <row r="140" customFormat="false" ht="23.85" hidden="false" customHeight="false" outlineLevel="0" collapsed="false">
      <c r="A140" s="7" t="s">
        <v>345</v>
      </c>
      <c r="B140" s="7" t="s">
        <v>139</v>
      </c>
      <c r="C140" s="7" t="s">
        <v>346</v>
      </c>
      <c r="D140" s="7" t="s">
        <v>83</v>
      </c>
      <c r="E140" s="7" t="s">
        <v>190</v>
      </c>
      <c r="F140" s="7" t="s">
        <v>219</v>
      </c>
      <c r="G140" s="7" t="s">
        <v>220</v>
      </c>
      <c r="H140" s="7" t="s">
        <v>193</v>
      </c>
      <c r="I140" s="7" t="s">
        <v>194</v>
      </c>
      <c r="J140" s="7" t="n">
        <v>1</v>
      </c>
      <c r="K140" s="7" t="s">
        <v>211</v>
      </c>
      <c r="L140" s="7" t="s">
        <v>352</v>
      </c>
      <c r="M140" s="7"/>
    </row>
    <row r="141" customFormat="false" ht="23.85" hidden="false" customHeight="false" outlineLevel="0" collapsed="false">
      <c r="A141" s="7" t="s">
        <v>345</v>
      </c>
      <c r="B141" s="7" t="s">
        <v>139</v>
      </c>
      <c r="C141" s="7" t="s">
        <v>346</v>
      </c>
      <c r="D141" s="7" t="s">
        <v>83</v>
      </c>
      <c r="E141" s="7" t="s">
        <v>190</v>
      </c>
      <c r="F141" s="11" t="s">
        <v>221</v>
      </c>
      <c r="G141" s="7" t="s">
        <v>338</v>
      </c>
      <c r="H141" s="7" t="s">
        <v>193</v>
      </c>
      <c r="I141" s="7" t="s">
        <v>194</v>
      </c>
      <c r="J141" s="7" t="n">
        <v>1</v>
      </c>
      <c r="K141" s="7" t="s">
        <v>223</v>
      </c>
      <c r="L141" s="7" t="s">
        <v>353</v>
      </c>
      <c r="M141" s="7"/>
    </row>
    <row r="142" customFormat="false" ht="23.85" hidden="false" customHeight="false" outlineLevel="0" collapsed="false">
      <c r="A142" s="7" t="s">
        <v>345</v>
      </c>
      <c r="B142" s="7" t="s">
        <v>139</v>
      </c>
      <c r="C142" s="7" t="s">
        <v>346</v>
      </c>
      <c r="D142" s="7" t="s">
        <v>83</v>
      </c>
      <c r="E142" s="7" t="s">
        <v>190</v>
      </c>
      <c r="F142" s="7" t="s">
        <v>225</v>
      </c>
      <c r="G142" s="7" t="s">
        <v>354</v>
      </c>
      <c r="H142" s="7" t="s">
        <v>193</v>
      </c>
      <c r="I142" s="7" t="s">
        <v>194</v>
      </c>
      <c r="J142" s="7" t="n">
        <v>1</v>
      </c>
      <c r="K142" s="7" t="s">
        <v>227</v>
      </c>
      <c r="L142" s="7" t="s">
        <v>355</v>
      </c>
      <c r="M142" s="7"/>
    </row>
    <row r="143" customFormat="false" ht="23.85" hidden="false" customHeight="false" outlineLevel="0" collapsed="false">
      <c r="A143" s="7" t="s">
        <v>345</v>
      </c>
      <c r="B143" s="7" t="s">
        <v>139</v>
      </c>
      <c r="C143" s="7" t="s">
        <v>346</v>
      </c>
      <c r="D143" s="7" t="s">
        <v>83</v>
      </c>
      <c r="E143" s="7" t="s">
        <v>190</v>
      </c>
      <c r="F143" s="11" t="s">
        <v>229</v>
      </c>
      <c r="G143" s="7" t="s">
        <v>356</v>
      </c>
      <c r="H143" s="7" t="s">
        <v>193</v>
      </c>
      <c r="I143" s="7" t="s">
        <v>194</v>
      </c>
      <c r="J143" s="7" t="n">
        <v>1</v>
      </c>
      <c r="K143" s="7" t="s">
        <v>231</v>
      </c>
      <c r="L143" s="7" t="s">
        <v>357</v>
      </c>
      <c r="M143" s="7"/>
    </row>
    <row r="144" customFormat="false" ht="23.85" hidden="false" customHeight="false" outlineLevel="0" collapsed="false">
      <c r="A144" s="7" t="s">
        <v>345</v>
      </c>
      <c r="B144" s="7" t="s">
        <v>139</v>
      </c>
      <c r="C144" s="7" t="s">
        <v>346</v>
      </c>
      <c r="D144" s="7" t="s">
        <v>83</v>
      </c>
      <c r="E144" s="7" t="s">
        <v>190</v>
      </c>
      <c r="F144" s="7" t="s">
        <v>233</v>
      </c>
      <c r="G144" s="7" t="s">
        <v>104</v>
      </c>
      <c r="H144" s="7" t="s">
        <v>193</v>
      </c>
      <c r="I144" s="7" t="s">
        <v>194</v>
      </c>
      <c r="J144" s="7" t="n">
        <v>1</v>
      </c>
      <c r="K144" s="7" t="s">
        <v>231</v>
      </c>
      <c r="L144" s="7" t="s">
        <v>358</v>
      </c>
      <c r="M144" s="7"/>
    </row>
    <row r="145" customFormat="false" ht="32.8" hidden="false" customHeight="false" outlineLevel="0" collapsed="false">
      <c r="A145" s="12" t="s">
        <v>345</v>
      </c>
      <c r="B145" s="12" t="s">
        <v>139</v>
      </c>
      <c r="C145" s="12" t="s">
        <v>346</v>
      </c>
      <c r="D145" s="12" t="s">
        <v>83</v>
      </c>
      <c r="E145" s="12" t="s">
        <v>190</v>
      </c>
      <c r="F145" s="12" t="s">
        <v>235</v>
      </c>
      <c r="G145" s="12" t="s">
        <v>236</v>
      </c>
      <c r="H145" s="12" t="s">
        <v>237</v>
      </c>
      <c r="I145" s="12" t="s">
        <v>237</v>
      </c>
      <c r="J145" s="12"/>
      <c r="K145" s="12"/>
      <c r="L145" s="12"/>
      <c r="M145" s="12" t="s">
        <v>238</v>
      </c>
    </row>
    <row r="146" customFormat="false" ht="15" hidden="false" customHeight="false" outlineLevel="0" collapsed="false">
      <c r="A146" s="7" t="s">
        <v>359</v>
      </c>
      <c r="B146" s="7" t="s">
        <v>149</v>
      </c>
      <c r="C146" s="7" t="s">
        <v>360</v>
      </c>
      <c r="D146" s="7" t="s">
        <v>113</v>
      </c>
      <c r="E146" s="7" t="s">
        <v>190</v>
      </c>
      <c r="F146" s="7" t="s">
        <v>191</v>
      </c>
      <c r="G146" s="7" t="s">
        <v>192</v>
      </c>
      <c r="H146" s="7" t="s">
        <v>193</v>
      </c>
      <c r="I146" s="7" t="s">
        <v>194</v>
      </c>
      <c r="J146" s="7"/>
      <c r="K146" s="7"/>
      <c r="L146" s="7"/>
      <c r="M146" s="7"/>
    </row>
    <row r="147" customFormat="false" ht="15" hidden="false" customHeight="false" outlineLevel="0" collapsed="false">
      <c r="A147" s="7" t="s">
        <v>359</v>
      </c>
      <c r="B147" s="7" t="s">
        <v>149</v>
      </c>
      <c r="C147" s="7" t="s">
        <v>360</v>
      </c>
      <c r="D147" s="7" t="s">
        <v>113</v>
      </c>
      <c r="E147" s="7" t="s">
        <v>190</v>
      </c>
      <c r="F147" s="7" t="s">
        <v>195</v>
      </c>
      <c r="G147" s="7" t="s">
        <v>196</v>
      </c>
      <c r="H147" s="7" t="s">
        <v>193</v>
      </c>
      <c r="I147" s="7" t="s">
        <v>194</v>
      </c>
      <c r="J147" s="7"/>
      <c r="K147" s="7"/>
      <c r="L147" s="7"/>
      <c r="M147" s="7"/>
    </row>
    <row r="148" customFormat="false" ht="15" hidden="false" customHeight="false" outlineLevel="0" collapsed="false">
      <c r="A148" s="7" t="s">
        <v>359</v>
      </c>
      <c r="B148" s="7" t="s">
        <v>149</v>
      </c>
      <c r="C148" s="7" t="s">
        <v>360</v>
      </c>
      <c r="D148" s="7" t="s">
        <v>113</v>
      </c>
      <c r="E148" s="7" t="s">
        <v>190</v>
      </c>
      <c r="F148" s="7" t="s">
        <v>197</v>
      </c>
      <c r="G148" s="7" t="s">
        <v>150</v>
      </c>
      <c r="H148" s="7" t="s">
        <v>193</v>
      </c>
      <c r="I148" s="7" t="s">
        <v>194</v>
      </c>
      <c r="J148" s="7" t="n">
        <v>1</v>
      </c>
      <c r="K148" s="7" t="s">
        <v>198</v>
      </c>
      <c r="L148" s="7"/>
      <c r="M148" s="7"/>
    </row>
    <row r="149" customFormat="false" ht="15" hidden="false" customHeight="false" outlineLevel="0" collapsed="false">
      <c r="A149" s="7" t="s">
        <v>359</v>
      </c>
      <c r="B149" s="7" t="s">
        <v>149</v>
      </c>
      <c r="C149" s="7" t="s">
        <v>360</v>
      </c>
      <c r="D149" s="7" t="s">
        <v>113</v>
      </c>
      <c r="E149" s="7" t="s">
        <v>190</v>
      </c>
      <c r="F149" s="7" t="s">
        <v>199</v>
      </c>
      <c r="G149" s="7" t="s">
        <v>141</v>
      </c>
      <c r="H149" s="7" t="s">
        <v>193</v>
      </c>
      <c r="I149" s="7" t="s">
        <v>194</v>
      </c>
      <c r="J149" s="7" t="n">
        <v>1</v>
      </c>
      <c r="K149" s="7" t="s">
        <v>198</v>
      </c>
      <c r="L149" s="7"/>
      <c r="M149" s="7"/>
    </row>
    <row r="150" customFormat="false" ht="15" hidden="false" customHeight="false" outlineLevel="0" collapsed="false">
      <c r="A150" s="7" t="s">
        <v>359</v>
      </c>
      <c r="B150" s="7" t="s">
        <v>149</v>
      </c>
      <c r="C150" s="7" t="s">
        <v>360</v>
      </c>
      <c r="D150" s="7" t="s">
        <v>113</v>
      </c>
      <c r="E150" s="7" t="s">
        <v>190</v>
      </c>
      <c r="F150" s="7" t="s">
        <v>200</v>
      </c>
      <c r="G150" s="7" t="s">
        <v>152</v>
      </c>
      <c r="H150" s="7" t="s">
        <v>193</v>
      </c>
      <c r="I150" s="7" t="s">
        <v>194</v>
      </c>
      <c r="J150" s="7"/>
      <c r="K150" s="7"/>
      <c r="L150" s="7"/>
      <c r="M150" s="7"/>
    </row>
    <row r="151" customFormat="false" ht="15" hidden="false" customHeight="false" outlineLevel="0" collapsed="false">
      <c r="A151" s="7" t="s">
        <v>359</v>
      </c>
      <c r="B151" s="7" t="s">
        <v>149</v>
      </c>
      <c r="C151" s="7" t="s">
        <v>360</v>
      </c>
      <c r="D151" s="7" t="s">
        <v>113</v>
      </c>
      <c r="E151" s="7" t="s">
        <v>190</v>
      </c>
      <c r="F151" s="7" t="s">
        <v>201</v>
      </c>
      <c r="G151" s="7" t="s">
        <v>151</v>
      </c>
      <c r="H151" s="7" t="s">
        <v>193</v>
      </c>
      <c r="I151" s="7" t="s">
        <v>194</v>
      </c>
      <c r="J151" s="7" t="n">
        <v>1</v>
      </c>
      <c r="K151" s="7" t="s">
        <v>198</v>
      </c>
      <c r="L151" s="7"/>
      <c r="M151" s="7"/>
    </row>
    <row r="152" customFormat="false" ht="15" hidden="false" customHeight="false" outlineLevel="0" collapsed="false">
      <c r="A152" s="7" t="s">
        <v>359</v>
      </c>
      <c r="B152" s="7" t="s">
        <v>149</v>
      </c>
      <c r="C152" s="7" t="s">
        <v>360</v>
      </c>
      <c r="D152" s="7" t="s">
        <v>113</v>
      </c>
      <c r="E152" s="7" t="s">
        <v>190</v>
      </c>
      <c r="F152" s="7" t="s">
        <v>202</v>
      </c>
      <c r="G152" s="7" t="s">
        <v>361</v>
      </c>
      <c r="H152" s="7" t="s">
        <v>193</v>
      </c>
      <c r="I152" s="7" t="s">
        <v>65</v>
      </c>
      <c r="J152" s="7"/>
      <c r="K152" s="7" t="s">
        <v>204</v>
      </c>
      <c r="L152" s="7"/>
      <c r="M152" s="7" t="s">
        <v>362</v>
      </c>
    </row>
    <row r="153" customFormat="false" ht="15" hidden="false" customHeight="false" outlineLevel="0" collapsed="false">
      <c r="A153" s="7" t="s">
        <v>359</v>
      </c>
      <c r="B153" s="7" t="s">
        <v>149</v>
      </c>
      <c r="C153" s="7" t="s">
        <v>360</v>
      </c>
      <c r="D153" s="7" t="s">
        <v>113</v>
      </c>
      <c r="E153" s="7" t="s">
        <v>190</v>
      </c>
      <c r="F153" s="7" t="s">
        <v>205</v>
      </c>
      <c r="G153" s="7" t="s">
        <v>363</v>
      </c>
      <c r="H153" s="7" t="s">
        <v>193</v>
      </c>
      <c r="I153" s="7" t="s">
        <v>194</v>
      </c>
      <c r="J153" s="7" t="n">
        <v>2</v>
      </c>
      <c r="K153" s="7" t="s">
        <v>207</v>
      </c>
      <c r="L153" s="7"/>
      <c r="M153" s="7"/>
    </row>
    <row r="154" customFormat="false" ht="23.85" hidden="false" customHeight="false" outlineLevel="0" collapsed="false">
      <c r="A154" s="7" t="s">
        <v>359</v>
      </c>
      <c r="B154" s="7" t="s">
        <v>149</v>
      </c>
      <c r="C154" s="7" t="s">
        <v>360</v>
      </c>
      <c r="D154" s="7" t="s">
        <v>113</v>
      </c>
      <c r="E154" s="7" t="s">
        <v>190</v>
      </c>
      <c r="F154" s="7" t="s">
        <v>209</v>
      </c>
      <c r="G154" s="7" t="s">
        <v>364</v>
      </c>
      <c r="H154" s="7" t="s">
        <v>193</v>
      </c>
      <c r="I154" s="7" t="s">
        <v>194</v>
      </c>
      <c r="J154" s="7" t="n">
        <v>1</v>
      </c>
      <c r="K154" s="7" t="s">
        <v>211</v>
      </c>
      <c r="L154" s="7" t="s">
        <v>365</v>
      </c>
      <c r="M154" s="7"/>
    </row>
    <row r="155" customFormat="false" ht="23.85" hidden="false" customHeight="false" outlineLevel="0" collapsed="false">
      <c r="A155" s="7" t="s">
        <v>359</v>
      </c>
      <c r="B155" s="7" t="s">
        <v>149</v>
      </c>
      <c r="C155" s="7" t="s">
        <v>360</v>
      </c>
      <c r="D155" s="7" t="s">
        <v>113</v>
      </c>
      <c r="E155" s="7" t="s">
        <v>190</v>
      </c>
      <c r="F155" s="7" t="s">
        <v>213</v>
      </c>
      <c r="G155" s="7" t="s">
        <v>220</v>
      </c>
      <c r="H155" s="7" t="s">
        <v>193</v>
      </c>
      <c r="I155" s="7" t="s">
        <v>194</v>
      </c>
      <c r="J155" s="7" t="n">
        <v>1</v>
      </c>
      <c r="K155" s="7" t="s">
        <v>211</v>
      </c>
      <c r="L155" s="7" t="s">
        <v>365</v>
      </c>
      <c r="M155" s="7"/>
    </row>
    <row r="156" customFormat="false" ht="23.85" hidden="false" customHeight="false" outlineLevel="0" collapsed="false">
      <c r="A156" s="7" t="s">
        <v>359</v>
      </c>
      <c r="B156" s="7" t="s">
        <v>149</v>
      </c>
      <c r="C156" s="7" t="s">
        <v>360</v>
      </c>
      <c r="D156" s="7" t="s">
        <v>113</v>
      </c>
      <c r="E156" s="7" t="s">
        <v>190</v>
      </c>
      <c r="F156" s="11" t="s">
        <v>215</v>
      </c>
      <c r="G156" s="7" t="s">
        <v>366</v>
      </c>
      <c r="H156" s="7" t="s">
        <v>193</v>
      </c>
      <c r="I156" s="7" t="s">
        <v>194</v>
      </c>
      <c r="J156" s="7" t="n">
        <v>1</v>
      </c>
      <c r="K156" s="7" t="s">
        <v>211</v>
      </c>
      <c r="L156" s="7" t="s">
        <v>365</v>
      </c>
      <c r="M156" s="7"/>
    </row>
    <row r="157" customFormat="false" ht="23.85" hidden="false" customHeight="false" outlineLevel="0" collapsed="false">
      <c r="A157" s="7" t="s">
        <v>359</v>
      </c>
      <c r="B157" s="7" t="s">
        <v>149</v>
      </c>
      <c r="C157" s="7" t="s">
        <v>360</v>
      </c>
      <c r="D157" s="7" t="s">
        <v>113</v>
      </c>
      <c r="E157" s="7" t="s">
        <v>190</v>
      </c>
      <c r="F157" s="11" t="s">
        <v>217</v>
      </c>
      <c r="G157" s="7" t="s">
        <v>63</v>
      </c>
      <c r="H157" s="7" t="s">
        <v>193</v>
      </c>
      <c r="I157" s="7" t="s">
        <v>194</v>
      </c>
      <c r="J157" s="7" t="n">
        <v>1</v>
      </c>
      <c r="K157" s="7" t="s">
        <v>211</v>
      </c>
      <c r="L157" s="7" t="s">
        <v>367</v>
      </c>
      <c r="M157" s="7"/>
    </row>
    <row r="158" customFormat="false" ht="23.85" hidden="false" customHeight="false" outlineLevel="0" collapsed="false">
      <c r="A158" s="7" t="s">
        <v>359</v>
      </c>
      <c r="B158" s="7" t="s">
        <v>149</v>
      </c>
      <c r="C158" s="7" t="s">
        <v>360</v>
      </c>
      <c r="D158" s="7" t="s">
        <v>113</v>
      </c>
      <c r="E158" s="7" t="s">
        <v>190</v>
      </c>
      <c r="F158" s="7" t="s">
        <v>219</v>
      </c>
      <c r="G158" s="7" t="s">
        <v>220</v>
      </c>
      <c r="H158" s="7" t="s">
        <v>193</v>
      </c>
      <c r="I158" s="7" t="s">
        <v>194</v>
      </c>
      <c r="J158" s="7" t="n">
        <v>1</v>
      </c>
      <c r="K158" s="7" t="s">
        <v>211</v>
      </c>
      <c r="L158" s="7" t="s">
        <v>367</v>
      </c>
      <c r="M158" s="7"/>
    </row>
    <row r="159" customFormat="false" ht="68.65" hidden="false" customHeight="false" outlineLevel="0" collapsed="false">
      <c r="A159" s="7" t="s">
        <v>359</v>
      </c>
      <c r="B159" s="7" t="s">
        <v>149</v>
      </c>
      <c r="C159" s="7" t="s">
        <v>360</v>
      </c>
      <c r="D159" s="7" t="s">
        <v>113</v>
      </c>
      <c r="E159" s="7" t="s">
        <v>190</v>
      </c>
      <c r="F159" s="16" t="s">
        <v>221</v>
      </c>
      <c r="G159" s="8" t="s">
        <v>368</v>
      </c>
      <c r="H159" s="8" t="s">
        <v>369</v>
      </c>
      <c r="I159" s="7" t="s">
        <v>194</v>
      </c>
      <c r="J159" s="7" t="n">
        <v>1</v>
      </c>
      <c r="K159" s="7" t="s">
        <v>223</v>
      </c>
      <c r="L159" s="7" t="s">
        <v>370</v>
      </c>
      <c r="M159" s="7" t="s">
        <v>371</v>
      </c>
    </row>
    <row r="160" customFormat="false" ht="35.05" hidden="false" customHeight="false" outlineLevel="0" collapsed="false">
      <c r="A160" s="7" t="s">
        <v>359</v>
      </c>
      <c r="B160" s="7" t="s">
        <v>149</v>
      </c>
      <c r="C160" s="7" t="s">
        <v>360</v>
      </c>
      <c r="D160" s="7" t="s">
        <v>113</v>
      </c>
      <c r="E160" s="7" t="s">
        <v>190</v>
      </c>
      <c r="F160" s="7" t="s">
        <v>225</v>
      </c>
      <c r="G160" s="7" t="s">
        <v>372</v>
      </c>
      <c r="H160" s="7" t="s">
        <v>193</v>
      </c>
      <c r="I160" s="7" t="s">
        <v>194</v>
      </c>
      <c r="J160" s="7" t="n">
        <v>1</v>
      </c>
      <c r="K160" s="7" t="s">
        <v>223</v>
      </c>
      <c r="L160" s="7" t="s">
        <v>370</v>
      </c>
      <c r="M160" s="7" t="s">
        <v>373</v>
      </c>
    </row>
    <row r="161" customFormat="false" ht="35.05" hidden="false" customHeight="false" outlineLevel="0" collapsed="false">
      <c r="A161" s="7" t="s">
        <v>359</v>
      </c>
      <c r="B161" s="7" t="s">
        <v>149</v>
      </c>
      <c r="C161" s="7" t="s">
        <v>360</v>
      </c>
      <c r="D161" s="7" t="s">
        <v>113</v>
      </c>
      <c r="E161" s="7" t="s">
        <v>190</v>
      </c>
      <c r="F161" s="11" t="s">
        <v>229</v>
      </c>
      <c r="G161" s="7" t="s">
        <v>374</v>
      </c>
      <c r="H161" s="7" t="s">
        <v>193</v>
      </c>
      <c r="I161" s="7" t="s">
        <v>65</v>
      </c>
      <c r="J161" s="7" t="n">
        <v>1</v>
      </c>
      <c r="K161" s="7" t="s">
        <v>231</v>
      </c>
      <c r="L161" s="7" t="s">
        <v>375</v>
      </c>
      <c r="M161" s="7" t="s">
        <v>376</v>
      </c>
    </row>
    <row r="162" customFormat="false" ht="15" hidden="false" customHeight="false" outlineLevel="0" collapsed="false">
      <c r="A162" s="7" t="s">
        <v>359</v>
      </c>
      <c r="B162" s="7" t="s">
        <v>149</v>
      </c>
      <c r="C162" s="7" t="s">
        <v>360</v>
      </c>
      <c r="D162" s="7" t="s">
        <v>113</v>
      </c>
      <c r="E162" s="7" t="s">
        <v>190</v>
      </c>
      <c r="F162" s="7" t="s">
        <v>233</v>
      </c>
      <c r="G162" s="7" t="s">
        <v>104</v>
      </c>
      <c r="H162" s="7" t="s">
        <v>193</v>
      </c>
      <c r="I162" s="7" t="s">
        <v>194</v>
      </c>
      <c r="J162" s="7" t="n">
        <v>1</v>
      </c>
      <c r="K162" s="7" t="s">
        <v>231</v>
      </c>
      <c r="L162" s="7" t="s">
        <v>377</v>
      </c>
      <c r="M162" s="7"/>
    </row>
    <row r="163" customFormat="false" ht="32.8" hidden="false" customHeight="false" outlineLevel="0" collapsed="false">
      <c r="A163" s="12" t="s">
        <v>359</v>
      </c>
      <c r="B163" s="12" t="s">
        <v>149</v>
      </c>
      <c r="C163" s="12" t="s">
        <v>360</v>
      </c>
      <c r="D163" s="12" t="s">
        <v>113</v>
      </c>
      <c r="E163" s="12" t="s">
        <v>190</v>
      </c>
      <c r="F163" s="12" t="s">
        <v>235</v>
      </c>
      <c r="G163" s="12" t="s">
        <v>236</v>
      </c>
      <c r="H163" s="12" t="s">
        <v>237</v>
      </c>
      <c r="I163" s="12" t="s">
        <v>237</v>
      </c>
      <c r="J163" s="12"/>
      <c r="K163" s="12"/>
      <c r="L163" s="12"/>
      <c r="M163" s="12" t="s">
        <v>238</v>
      </c>
    </row>
    <row r="164" customFormat="false" ht="23.85" hidden="false" customHeight="false" outlineLevel="0" collapsed="false">
      <c r="A164" s="7" t="s">
        <v>378</v>
      </c>
      <c r="B164" s="7" t="s">
        <v>158</v>
      </c>
      <c r="C164" s="7" t="s">
        <v>379</v>
      </c>
      <c r="D164" s="7" t="s">
        <v>113</v>
      </c>
      <c r="E164" s="7" t="s">
        <v>190</v>
      </c>
      <c r="F164" s="7" t="s">
        <v>191</v>
      </c>
      <c r="G164" s="7" t="s">
        <v>192</v>
      </c>
      <c r="H164" s="7" t="s">
        <v>193</v>
      </c>
      <c r="I164" s="7" t="s">
        <v>194</v>
      </c>
      <c r="J164" s="7"/>
      <c r="K164" s="7"/>
      <c r="L164" s="7"/>
      <c r="M164" s="7"/>
    </row>
    <row r="165" customFormat="false" ht="23.85" hidden="false" customHeight="false" outlineLevel="0" collapsed="false">
      <c r="A165" s="7" t="s">
        <v>378</v>
      </c>
      <c r="B165" s="7" t="s">
        <v>158</v>
      </c>
      <c r="C165" s="7" t="s">
        <v>379</v>
      </c>
      <c r="D165" s="7" t="s">
        <v>113</v>
      </c>
      <c r="E165" s="7" t="s">
        <v>190</v>
      </c>
      <c r="F165" s="7" t="s">
        <v>195</v>
      </c>
      <c r="G165" s="7" t="s">
        <v>256</v>
      </c>
      <c r="H165" s="7" t="s">
        <v>193</v>
      </c>
      <c r="I165" s="7" t="s">
        <v>194</v>
      </c>
      <c r="J165" s="7"/>
      <c r="K165" s="7"/>
      <c r="L165" s="7"/>
      <c r="M165" s="7"/>
    </row>
    <row r="166" customFormat="false" ht="23.85" hidden="false" customHeight="false" outlineLevel="0" collapsed="false">
      <c r="A166" s="7" t="s">
        <v>378</v>
      </c>
      <c r="B166" s="7" t="s">
        <v>158</v>
      </c>
      <c r="C166" s="7" t="s">
        <v>379</v>
      </c>
      <c r="D166" s="7" t="s">
        <v>113</v>
      </c>
      <c r="E166" s="7" t="s">
        <v>190</v>
      </c>
      <c r="F166" s="7" t="s">
        <v>197</v>
      </c>
      <c r="G166" s="7" t="s">
        <v>161</v>
      </c>
      <c r="H166" s="7" t="s">
        <v>193</v>
      </c>
      <c r="I166" s="7" t="s">
        <v>194</v>
      </c>
      <c r="J166" s="7" t="n">
        <v>1</v>
      </c>
      <c r="K166" s="7" t="s">
        <v>257</v>
      </c>
      <c r="L166" s="7"/>
      <c r="M166" s="7"/>
    </row>
    <row r="167" customFormat="false" ht="23.85" hidden="false" customHeight="false" outlineLevel="0" collapsed="false">
      <c r="A167" s="7" t="s">
        <v>378</v>
      </c>
      <c r="B167" s="7" t="s">
        <v>158</v>
      </c>
      <c r="C167" s="7" t="s">
        <v>379</v>
      </c>
      <c r="D167" s="7" t="s">
        <v>113</v>
      </c>
      <c r="E167" s="7" t="s">
        <v>190</v>
      </c>
      <c r="F167" s="7" t="s">
        <v>199</v>
      </c>
      <c r="G167" s="7" t="s">
        <v>160</v>
      </c>
      <c r="H167" s="7" t="s">
        <v>193</v>
      </c>
      <c r="I167" s="7" t="s">
        <v>194</v>
      </c>
      <c r="J167" s="7" t="n">
        <v>1</v>
      </c>
      <c r="K167" s="7" t="s">
        <v>257</v>
      </c>
      <c r="L167" s="7"/>
      <c r="M167" s="7"/>
    </row>
    <row r="168" customFormat="false" ht="23.85" hidden="false" customHeight="false" outlineLevel="0" collapsed="false">
      <c r="A168" s="7" t="s">
        <v>378</v>
      </c>
      <c r="B168" s="7" t="s">
        <v>158</v>
      </c>
      <c r="C168" s="7" t="s">
        <v>379</v>
      </c>
      <c r="D168" s="7" t="s">
        <v>113</v>
      </c>
      <c r="E168" s="7" t="s">
        <v>190</v>
      </c>
      <c r="F168" s="7" t="s">
        <v>200</v>
      </c>
      <c r="G168" s="7" t="s">
        <v>163</v>
      </c>
      <c r="H168" s="7" t="s">
        <v>193</v>
      </c>
      <c r="I168" s="7" t="s">
        <v>194</v>
      </c>
      <c r="J168" s="7"/>
      <c r="K168" s="7"/>
      <c r="L168" s="7"/>
      <c r="M168" s="7"/>
    </row>
    <row r="169" customFormat="false" ht="23.85" hidden="false" customHeight="false" outlineLevel="0" collapsed="false">
      <c r="A169" s="7" t="s">
        <v>378</v>
      </c>
      <c r="B169" s="7" t="s">
        <v>158</v>
      </c>
      <c r="C169" s="7" t="s">
        <v>379</v>
      </c>
      <c r="D169" s="7" t="s">
        <v>113</v>
      </c>
      <c r="E169" s="7" t="s">
        <v>190</v>
      </c>
      <c r="F169" s="7" t="s">
        <v>201</v>
      </c>
      <c r="G169" s="7" t="s">
        <v>162</v>
      </c>
      <c r="H169" s="7" t="s">
        <v>193</v>
      </c>
      <c r="I169" s="7" t="s">
        <v>194</v>
      </c>
      <c r="J169" s="7" t="n">
        <v>1</v>
      </c>
      <c r="K169" s="7" t="s">
        <v>257</v>
      </c>
      <c r="L169" s="7"/>
      <c r="M169" s="7"/>
    </row>
    <row r="170" customFormat="false" ht="23.85" hidden="false" customHeight="false" outlineLevel="0" collapsed="false">
      <c r="A170" s="7" t="s">
        <v>378</v>
      </c>
      <c r="B170" s="7" t="s">
        <v>158</v>
      </c>
      <c r="C170" s="7" t="s">
        <v>379</v>
      </c>
      <c r="D170" s="7" t="s">
        <v>113</v>
      </c>
      <c r="E170" s="7" t="s">
        <v>190</v>
      </c>
      <c r="F170" s="7" t="s">
        <v>202</v>
      </c>
      <c r="G170" s="7" t="s">
        <v>380</v>
      </c>
      <c r="H170" s="7" t="s">
        <v>193</v>
      </c>
      <c r="I170" s="7" t="s">
        <v>90</v>
      </c>
      <c r="J170" s="7"/>
      <c r="K170" s="7" t="s">
        <v>204</v>
      </c>
      <c r="L170" s="7"/>
      <c r="M170" s="7" t="s">
        <v>381</v>
      </c>
    </row>
    <row r="171" customFormat="false" ht="23.85" hidden="false" customHeight="false" outlineLevel="0" collapsed="false">
      <c r="A171" s="7" t="s">
        <v>378</v>
      </c>
      <c r="B171" s="7" t="s">
        <v>158</v>
      </c>
      <c r="C171" s="7" t="s">
        <v>379</v>
      </c>
      <c r="D171" s="7" t="s">
        <v>113</v>
      </c>
      <c r="E171" s="7" t="s">
        <v>190</v>
      </c>
      <c r="F171" s="7" t="s">
        <v>205</v>
      </c>
      <c r="G171" s="7" t="s">
        <v>382</v>
      </c>
      <c r="H171" s="7" t="s">
        <v>193</v>
      </c>
      <c r="I171" s="7" t="s">
        <v>194</v>
      </c>
      <c r="J171" s="7" t="n">
        <v>2</v>
      </c>
      <c r="K171" s="7" t="s">
        <v>261</v>
      </c>
      <c r="L171" s="7"/>
      <c r="M171" s="7"/>
    </row>
    <row r="172" customFormat="false" ht="23.85" hidden="false" customHeight="false" outlineLevel="0" collapsed="false">
      <c r="A172" s="7" t="s">
        <v>378</v>
      </c>
      <c r="B172" s="7" t="s">
        <v>158</v>
      </c>
      <c r="C172" s="7" t="s">
        <v>379</v>
      </c>
      <c r="D172" s="7" t="s">
        <v>113</v>
      </c>
      <c r="E172" s="7" t="s">
        <v>190</v>
      </c>
      <c r="F172" s="7" t="s">
        <v>209</v>
      </c>
      <c r="G172" s="7" t="s">
        <v>383</v>
      </c>
      <c r="H172" s="7" t="s">
        <v>193</v>
      </c>
      <c r="I172" s="7" t="s">
        <v>194</v>
      </c>
      <c r="J172" s="7" t="n">
        <v>1</v>
      </c>
      <c r="K172" s="7" t="s">
        <v>211</v>
      </c>
      <c r="L172" s="7" t="s">
        <v>384</v>
      </c>
      <c r="M172" s="7"/>
    </row>
    <row r="173" customFormat="false" ht="23.85" hidden="false" customHeight="false" outlineLevel="0" collapsed="false">
      <c r="A173" s="7" t="s">
        <v>378</v>
      </c>
      <c r="B173" s="7" t="s">
        <v>158</v>
      </c>
      <c r="C173" s="7" t="s">
        <v>379</v>
      </c>
      <c r="D173" s="7" t="s">
        <v>113</v>
      </c>
      <c r="E173" s="7" t="s">
        <v>190</v>
      </c>
      <c r="F173" s="7" t="s">
        <v>213</v>
      </c>
      <c r="G173" s="7" t="s">
        <v>220</v>
      </c>
      <c r="H173" s="7" t="s">
        <v>193</v>
      </c>
      <c r="I173" s="7" t="s">
        <v>194</v>
      </c>
      <c r="J173" s="7" t="n">
        <v>1</v>
      </c>
      <c r="K173" s="7" t="s">
        <v>211</v>
      </c>
      <c r="L173" s="7" t="s">
        <v>384</v>
      </c>
      <c r="M173" s="7"/>
    </row>
    <row r="174" customFormat="false" ht="23.85" hidden="false" customHeight="false" outlineLevel="0" collapsed="false">
      <c r="A174" s="7" t="s">
        <v>378</v>
      </c>
      <c r="B174" s="7" t="s">
        <v>158</v>
      </c>
      <c r="C174" s="7" t="s">
        <v>379</v>
      </c>
      <c r="D174" s="7" t="s">
        <v>113</v>
      </c>
      <c r="E174" s="7" t="s">
        <v>190</v>
      </c>
      <c r="F174" s="14" t="s">
        <v>215</v>
      </c>
      <c r="G174" s="13"/>
      <c r="H174" s="13" t="s">
        <v>247</v>
      </c>
      <c r="I174" s="7" t="s">
        <v>194</v>
      </c>
      <c r="J174" s="7"/>
      <c r="K174" s="7"/>
      <c r="L174" s="7"/>
      <c r="M174" s="7" t="s">
        <v>336</v>
      </c>
    </row>
    <row r="175" customFormat="false" ht="23.85" hidden="false" customHeight="false" outlineLevel="0" collapsed="false">
      <c r="A175" s="7" t="s">
        <v>378</v>
      </c>
      <c r="B175" s="7" t="s">
        <v>158</v>
      </c>
      <c r="C175" s="7" t="s">
        <v>379</v>
      </c>
      <c r="D175" s="7" t="s">
        <v>113</v>
      </c>
      <c r="E175" s="7" t="s">
        <v>190</v>
      </c>
      <c r="F175" s="11" t="s">
        <v>217</v>
      </c>
      <c r="G175" s="7" t="s">
        <v>63</v>
      </c>
      <c r="H175" s="7" t="s">
        <v>193</v>
      </c>
      <c r="I175" s="7" t="s">
        <v>194</v>
      </c>
      <c r="J175" s="7" t="n">
        <v>1</v>
      </c>
      <c r="K175" s="7" t="s">
        <v>211</v>
      </c>
      <c r="L175" s="7" t="s">
        <v>385</v>
      </c>
      <c r="M175" s="7"/>
    </row>
    <row r="176" customFormat="false" ht="23.85" hidden="false" customHeight="false" outlineLevel="0" collapsed="false">
      <c r="A176" s="7" t="s">
        <v>378</v>
      </c>
      <c r="B176" s="7" t="s">
        <v>158</v>
      </c>
      <c r="C176" s="7" t="s">
        <v>379</v>
      </c>
      <c r="D176" s="7" t="s">
        <v>113</v>
      </c>
      <c r="E176" s="7" t="s">
        <v>190</v>
      </c>
      <c r="F176" s="7" t="s">
        <v>219</v>
      </c>
      <c r="G176" s="7" t="s">
        <v>220</v>
      </c>
      <c r="H176" s="7" t="s">
        <v>193</v>
      </c>
      <c r="I176" s="7" t="s">
        <v>194</v>
      </c>
      <c r="J176" s="7" t="n">
        <v>1</v>
      </c>
      <c r="K176" s="7" t="s">
        <v>211</v>
      </c>
      <c r="L176" s="7" t="s">
        <v>385</v>
      </c>
      <c r="M176" s="7"/>
    </row>
    <row r="177" customFormat="false" ht="57.45" hidden="false" customHeight="false" outlineLevel="0" collapsed="false">
      <c r="A177" s="7" t="s">
        <v>378</v>
      </c>
      <c r="B177" s="7" t="s">
        <v>158</v>
      </c>
      <c r="C177" s="7" t="s">
        <v>379</v>
      </c>
      <c r="D177" s="7" t="s">
        <v>113</v>
      </c>
      <c r="E177" s="7" t="s">
        <v>190</v>
      </c>
      <c r="F177" s="14" t="s">
        <v>221</v>
      </c>
      <c r="G177" s="13"/>
      <c r="H177" s="13" t="s">
        <v>247</v>
      </c>
      <c r="I177" s="7" t="s">
        <v>194</v>
      </c>
      <c r="J177" s="7"/>
      <c r="K177" s="7"/>
      <c r="L177" s="7"/>
      <c r="M177" s="7" t="s">
        <v>386</v>
      </c>
    </row>
    <row r="178" customFormat="false" ht="35.05" hidden="false" customHeight="false" outlineLevel="0" collapsed="false">
      <c r="A178" s="7" t="s">
        <v>378</v>
      </c>
      <c r="B178" s="7" t="s">
        <v>158</v>
      </c>
      <c r="C178" s="7" t="s">
        <v>379</v>
      </c>
      <c r="D178" s="7" t="s">
        <v>113</v>
      </c>
      <c r="E178" s="7" t="s">
        <v>190</v>
      </c>
      <c r="F178" s="7" t="s">
        <v>225</v>
      </c>
      <c r="G178" s="7" t="s">
        <v>387</v>
      </c>
      <c r="H178" s="7" t="s">
        <v>193</v>
      </c>
      <c r="I178" s="7" t="s">
        <v>65</v>
      </c>
      <c r="J178" s="7" t="n">
        <v>1</v>
      </c>
      <c r="K178" s="7" t="s">
        <v>323</v>
      </c>
      <c r="L178" s="7" t="s">
        <v>388</v>
      </c>
      <c r="M178" s="7"/>
    </row>
    <row r="179" customFormat="false" ht="35.05" hidden="false" customHeight="false" outlineLevel="0" collapsed="false">
      <c r="A179" s="7" t="s">
        <v>378</v>
      </c>
      <c r="B179" s="7" t="s">
        <v>158</v>
      </c>
      <c r="C179" s="7" t="s">
        <v>379</v>
      </c>
      <c r="D179" s="7" t="s">
        <v>113</v>
      </c>
      <c r="E179" s="7" t="s">
        <v>190</v>
      </c>
      <c r="F179" s="11" t="s">
        <v>229</v>
      </c>
      <c r="G179" s="7" t="s">
        <v>389</v>
      </c>
      <c r="H179" s="7" t="s">
        <v>193</v>
      </c>
      <c r="I179" s="7" t="s">
        <v>65</v>
      </c>
      <c r="J179" s="7" t="n">
        <v>1</v>
      </c>
      <c r="K179" s="7" t="s">
        <v>223</v>
      </c>
      <c r="L179" s="7" t="s">
        <v>390</v>
      </c>
      <c r="M179" s="7" t="s">
        <v>391</v>
      </c>
    </row>
    <row r="180" customFormat="false" ht="23.85" hidden="false" customHeight="false" outlineLevel="0" collapsed="false">
      <c r="A180" s="7" t="s">
        <v>378</v>
      </c>
      <c r="B180" s="7" t="s">
        <v>158</v>
      </c>
      <c r="C180" s="7" t="s">
        <v>379</v>
      </c>
      <c r="D180" s="7" t="s">
        <v>113</v>
      </c>
      <c r="E180" s="7" t="s">
        <v>190</v>
      </c>
      <c r="F180" s="7" t="s">
        <v>233</v>
      </c>
      <c r="G180" s="7" t="s">
        <v>104</v>
      </c>
      <c r="H180" s="7" t="s">
        <v>193</v>
      </c>
      <c r="I180" s="7" t="s">
        <v>194</v>
      </c>
      <c r="J180" s="7" t="n">
        <v>1</v>
      </c>
      <c r="K180" s="7" t="s">
        <v>223</v>
      </c>
      <c r="L180" s="7" t="s">
        <v>392</v>
      </c>
      <c r="M180" s="7"/>
    </row>
    <row r="181" customFormat="false" ht="32.8" hidden="false" customHeight="false" outlineLevel="0" collapsed="false">
      <c r="A181" s="12" t="s">
        <v>378</v>
      </c>
      <c r="B181" s="12" t="s">
        <v>158</v>
      </c>
      <c r="C181" s="12" t="s">
        <v>379</v>
      </c>
      <c r="D181" s="12" t="s">
        <v>113</v>
      </c>
      <c r="E181" s="12" t="s">
        <v>190</v>
      </c>
      <c r="F181" s="12" t="s">
        <v>235</v>
      </c>
      <c r="G181" s="12" t="s">
        <v>236</v>
      </c>
      <c r="H181" s="12" t="s">
        <v>237</v>
      </c>
      <c r="I181" s="12" t="s">
        <v>237</v>
      </c>
      <c r="J181" s="12"/>
      <c r="K181" s="12"/>
      <c r="L181" s="12"/>
      <c r="M181" s="12" t="s">
        <v>238</v>
      </c>
    </row>
    <row r="182" customFormat="false" ht="23.85" hidden="false" customHeight="false" outlineLevel="0" collapsed="false">
      <c r="A182" s="7" t="s">
        <v>393</v>
      </c>
      <c r="B182" s="7" t="s">
        <v>168</v>
      </c>
      <c r="C182" s="7" t="s">
        <v>394</v>
      </c>
      <c r="D182" s="7" t="s">
        <v>83</v>
      </c>
      <c r="E182" s="7" t="s">
        <v>190</v>
      </c>
      <c r="F182" s="7" t="s">
        <v>191</v>
      </c>
      <c r="G182" s="7" t="s">
        <v>192</v>
      </c>
      <c r="H182" s="7" t="s">
        <v>193</v>
      </c>
      <c r="I182" s="7" t="s">
        <v>194</v>
      </c>
      <c r="J182" s="7"/>
      <c r="K182" s="7"/>
      <c r="L182" s="7"/>
      <c r="M182" s="7"/>
    </row>
    <row r="183" customFormat="false" ht="23.85" hidden="false" customHeight="false" outlineLevel="0" collapsed="false">
      <c r="A183" s="7" t="s">
        <v>393</v>
      </c>
      <c r="B183" s="7" t="s">
        <v>168</v>
      </c>
      <c r="C183" s="7" t="s">
        <v>394</v>
      </c>
      <c r="D183" s="7" t="s">
        <v>83</v>
      </c>
      <c r="E183" s="7" t="s">
        <v>190</v>
      </c>
      <c r="F183" s="7" t="s">
        <v>195</v>
      </c>
      <c r="G183" s="7" t="s">
        <v>196</v>
      </c>
      <c r="H183" s="7" t="s">
        <v>193</v>
      </c>
      <c r="I183" s="7" t="s">
        <v>194</v>
      </c>
      <c r="J183" s="7"/>
      <c r="K183" s="7"/>
      <c r="L183" s="7"/>
      <c r="M183" s="7"/>
    </row>
    <row r="184" customFormat="false" ht="23.85" hidden="false" customHeight="false" outlineLevel="0" collapsed="false">
      <c r="A184" s="7" t="s">
        <v>393</v>
      </c>
      <c r="B184" s="7" t="s">
        <v>168</v>
      </c>
      <c r="C184" s="7" t="s">
        <v>394</v>
      </c>
      <c r="D184" s="7" t="s">
        <v>83</v>
      </c>
      <c r="E184" s="7" t="s">
        <v>190</v>
      </c>
      <c r="F184" s="7" t="s">
        <v>197</v>
      </c>
      <c r="G184" s="7" t="s">
        <v>169</v>
      </c>
      <c r="H184" s="7" t="s">
        <v>193</v>
      </c>
      <c r="I184" s="7" t="s">
        <v>194</v>
      </c>
      <c r="J184" s="7" t="n">
        <v>1</v>
      </c>
      <c r="K184" s="7" t="s">
        <v>198</v>
      </c>
      <c r="L184" s="7"/>
      <c r="M184" s="7"/>
    </row>
    <row r="185" customFormat="false" ht="23.85" hidden="false" customHeight="false" outlineLevel="0" collapsed="false">
      <c r="A185" s="7" t="s">
        <v>393</v>
      </c>
      <c r="B185" s="7" t="s">
        <v>168</v>
      </c>
      <c r="C185" s="7" t="s">
        <v>394</v>
      </c>
      <c r="D185" s="7" t="s">
        <v>83</v>
      </c>
      <c r="E185" s="7" t="s">
        <v>190</v>
      </c>
      <c r="F185" s="7" t="s">
        <v>199</v>
      </c>
      <c r="G185" s="7" t="s">
        <v>160</v>
      </c>
      <c r="H185" s="7" t="s">
        <v>193</v>
      </c>
      <c r="I185" s="7" t="s">
        <v>194</v>
      </c>
      <c r="J185" s="7" t="n">
        <v>1</v>
      </c>
      <c r="K185" s="7" t="s">
        <v>198</v>
      </c>
      <c r="L185" s="7"/>
      <c r="M185" s="7"/>
    </row>
    <row r="186" customFormat="false" ht="23.85" hidden="false" customHeight="false" outlineLevel="0" collapsed="false">
      <c r="A186" s="7" t="s">
        <v>393</v>
      </c>
      <c r="B186" s="7" t="s">
        <v>168</v>
      </c>
      <c r="C186" s="7" t="s">
        <v>394</v>
      </c>
      <c r="D186" s="7" t="s">
        <v>83</v>
      </c>
      <c r="E186" s="7" t="s">
        <v>190</v>
      </c>
      <c r="F186" s="7" t="s">
        <v>200</v>
      </c>
      <c r="G186" s="7" t="s">
        <v>395</v>
      </c>
      <c r="H186" s="7" t="s">
        <v>193</v>
      </c>
      <c r="I186" s="7" t="s">
        <v>194</v>
      </c>
      <c r="J186" s="7"/>
      <c r="K186" s="7"/>
      <c r="L186" s="7"/>
      <c r="M186" s="7"/>
    </row>
    <row r="187" customFormat="false" ht="23.85" hidden="false" customHeight="false" outlineLevel="0" collapsed="false">
      <c r="A187" s="7" t="s">
        <v>393</v>
      </c>
      <c r="B187" s="7" t="s">
        <v>168</v>
      </c>
      <c r="C187" s="7" t="s">
        <v>394</v>
      </c>
      <c r="D187" s="7" t="s">
        <v>83</v>
      </c>
      <c r="E187" s="7" t="s">
        <v>190</v>
      </c>
      <c r="F187" s="7" t="s">
        <v>201</v>
      </c>
      <c r="G187" s="7" t="s">
        <v>170</v>
      </c>
      <c r="H187" s="7" t="s">
        <v>193</v>
      </c>
      <c r="I187" s="7" t="s">
        <v>194</v>
      </c>
      <c r="J187" s="7" t="n">
        <v>1</v>
      </c>
      <c r="K187" s="7" t="s">
        <v>198</v>
      </c>
      <c r="L187" s="7"/>
      <c r="M187" s="7"/>
    </row>
    <row r="188" customFormat="false" ht="23.85" hidden="false" customHeight="false" outlineLevel="0" collapsed="false">
      <c r="A188" s="7" t="s">
        <v>393</v>
      </c>
      <c r="B188" s="7" t="s">
        <v>168</v>
      </c>
      <c r="C188" s="7" t="s">
        <v>394</v>
      </c>
      <c r="D188" s="7" t="s">
        <v>83</v>
      </c>
      <c r="E188" s="7" t="s">
        <v>190</v>
      </c>
      <c r="F188" s="7" t="s">
        <v>202</v>
      </c>
      <c r="G188" s="7" t="s">
        <v>380</v>
      </c>
      <c r="H188" s="7" t="s">
        <v>193</v>
      </c>
      <c r="I188" s="7" t="s">
        <v>65</v>
      </c>
      <c r="J188" s="7"/>
      <c r="K188" s="7" t="s">
        <v>204</v>
      </c>
      <c r="L188" s="7"/>
      <c r="M188" s="7"/>
    </row>
    <row r="189" customFormat="false" ht="23.85" hidden="false" customHeight="false" outlineLevel="0" collapsed="false">
      <c r="A189" s="7" t="s">
        <v>393</v>
      </c>
      <c r="B189" s="7" t="s">
        <v>168</v>
      </c>
      <c r="C189" s="7" t="s">
        <v>394</v>
      </c>
      <c r="D189" s="7" t="s">
        <v>83</v>
      </c>
      <c r="E189" s="7" t="s">
        <v>190</v>
      </c>
      <c r="F189" s="7" t="s">
        <v>205</v>
      </c>
      <c r="G189" s="7" t="s">
        <v>396</v>
      </c>
      <c r="H189" s="7" t="s">
        <v>193</v>
      </c>
      <c r="I189" s="7" t="s">
        <v>194</v>
      </c>
      <c r="J189" s="7" t="n">
        <v>2</v>
      </c>
      <c r="K189" s="7" t="s">
        <v>207</v>
      </c>
      <c r="L189" s="7"/>
      <c r="M189" s="7"/>
    </row>
    <row r="190" customFormat="false" ht="23.85" hidden="false" customHeight="false" outlineLevel="0" collapsed="false">
      <c r="A190" s="7" t="s">
        <v>393</v>
      </c>
      <c r="B190" s="7" t="s">
        <v>168</v>
      </c>
      <c r="C190" s="7" t="s">
        <v>394</v>
      </c>
      <c r="D190" s="7" t="s">
        <v>83</v>
      </c>
      <c r="E190" s="7" t="s">
        <v>190</v>
      </c>
      <c r="F190" s="7" t="s">
        <v>209</v>
      </c>
      <c r="G190" s="7" t="s">
        <v>397</v>
      </c>
      <c r="H190" s="7" t="s">
        <v>193</v>
      </c>
      <c r="I190" s="7" t="s">
        <v>194</v>
      </c>
      <c r="J190" s="7" t="n">
        <v>1</v>
      </c>
      <c r="K190" s="7" t="s">
        <v>211</v>
      </c>
      <c r="L190" s="7" t="s">
        <v>398</v>
      </c>
      <c r="M190" s="7"/>
    </row>
    <row r="191" customFormat="false" ht="23.85" hidden="false" customHeight="false" outlineLevel="0" collapsed="false">
      <c r="A191" s="7" t="s">
        <v>393</v>
      </c>
      <c r="B191" s="7" t="s">
        <v>168</v>
      </c>
      <c r="C191" s="7" t="s">
        <v>394</v>
      </c>
      <c r="D191" s="7" t="s">
        <v>83</v>
      </c>
      <c r="E191" s="7" t="s">
        <v>190</v>
      </c>
      <c r="F191" s="7" t="s">
        <v>213</v>
      </c>
      <c r="G191" s="7" t="s">
        <v>220</v>
      </c>
      <c r="H191" s="7" t="s">
        <v>193</v>
      </c>
      <c r="I191" s="7" t="s">
        <v>65</v>
      </c>
      <c r="J191" s="7" t="n">
        <v>1</v>
      </c>
      <c r="K191" s="7" t="s">
        <v>211</v>
      </c>
      <c r="L191" s="7" t="s">
        <v>398</v>
      </c>
      <c r="M191" s="7" t="s">
        <v>399</v>
      </c>
    </row>
    <row r="192" customFormat="false" ht="23.85" hidden="false" customHeight="false" outlineLevel="0" collapsed="false">
      <c r="A192" s="7" t="s">
        <v>393</v>
      </c>
      <c r="B192" s="7" t="s">
        <v>168</v>
      </c>
      <c r="C192" s="7" t="s">
        <v>394</v>
      </c>
      <c r="D192" s="7" t="s">
        <v>83</v>
      </c>
      <c r="E192" s="7" t="s">
        <v>190</v>
      </c>
      <c r="F192" s="11" t="s">
        <v>215</v>
      </c>
      <c r="G192" s="7" t="s">
        <v>400</v>
      </c>
      <c r="H192" s="7" t="s">
        <v>193</v>
      </c>
      <c r="I192" s="7" t="s">
        <v>194</v>
      </c>
      <c r="J192" s="7" t="n">
        <v>1</v>
      </c>
      <c r="K192" s="7" t="s">
        <v>211</v>
      </c>
      <c r="L192" s="7" t="s">
        <v>398</v>
      </c>
      <c r="M192" s="7"/>
    </row>
    <row r="193" customFormat="false" ht="23.85" hidden="false" customHeight="false" outlineLevel="0" collapsed="false">
      <c r="A193" s="7" t="s">
        <v>393</v>
      </c>
      <c r="B193" s="7" t="s">
        <v>168</v>
      </c>
      <c r="C193" s="7" t="s">
        <v>394</v>
      </c>
      <c r="D193" s="7" t="s">
        <v>83</v>
      </c>
      <c r="E193" s="7" t="s">
        <v>190</v>
      </c>
      <c r="F193" s="11" t="s">
        <v>217</v>
      </c>
      <c r="G193" s="7" t="s">
        <v>174</v>
      </c>
      <c r="H193" s="7" t="s">
        <v>193</v>
      </c>
      <c r="I193" s="7" t="s">
        <v>194</v>
      </c>
      <c r="J193" s="7" t="n">
        <v>1</v>
      </c>
      <c r="K193" s="7" t="s">
        <v>211</v>
      </c>
      <c r="L193" s="7" t="s">
        <v>401</v>
      </c>
      <c r="M193" s="7"/>
    </row>
    <row r="194" customFormat="false" ht="23.85" hidden="false" customHeight="false" outlineLevel="0" collapsed="false">
      <c r="A194" s="7" t="s">
        <v>393</v>
      </c>
      <c r="B194" s="7" t="s">
        <v>168</v>
      </c>
      <c r="C194" s="7" t="s">
        <v>394</v>
      </c>
      <c r="D194" s="7" t="s">
        <v>83</v>
      </c>
      <c r="E194" s="7" t="s">
        <v>190</v>
      </c>
      <c r="F194" s="13" t="s">
        <v>219</v>
      </c>
      <c r="G194" s="13"/>
      <c r="H194" s="13" t="s">
        <v>247</v>
      </c>
      <c r="I194" s="7" t="s">
        <v>194</v>
      </c>
      <c r="J194" s="7"/>
      <c r="K194" s="7"/>
      <c r="L194" s="7"/>
      <c r="M194" s="7" t="s">
        <v>402</v>
      </c>
    </row>
    <row r="195" customFormat="false" ht="35.05" hidden="false" customHeight="false" outlineLevel="0" collapsed="false">
      <c r="A195" s="7" t="s">
        <v>393</v>
      </c>
      <c r="B195" s="7" t="s">
        <v>168</v>
      </c>
      <c r="C195" s="7" t="s">
        <v>394</v>
      </c>
      <c r="D195" s="7" t="s">
        <v>83</v>
      </c>
      <c r="E195" s="7" t="s">
        <v>190</v>
      </c>
      <c r="F195" s="14" t="s">
        <v>221</v>
      </c>
      <c r="G195" s="13"/>
      <c r="H195" s="13" t="s">
        <v>247</v>
      </c>
      <c r="I195" s="7" t="s">
        <v>194</v>
      </c>
      <c r="J195" s="7"/>
      <c r="K195" s="7"/>
      <c r="L195" s="7"/>
      <c r="M195" s="7" t="s">
        <v>403</v>
      </c>
    </row>
    <row r="196" customFormat="false" ht="23.85" hidden="false" customHeight="false" outlineLevel="0" collapsed="false">
      <c r="A196" s="7" t="s">
        <v>393</v>
      </c>
      <c r="B196" s="7" t="s">
        <v>168</v>
      </c>
      <c r="C196" s="7" t="s">
        <v>394</v>
      </c>
      <c r="D196" s="7" t="s">
        <v>83</v>
      </c>
      <c r="E196" s="7" t="s">
        <v>190</v>
      </c>
      <c r="F196" s="7" t="s">
        <v>225</v>
      </c>
      <c r="G196" s="7" t="s">
        <v>404</v>
      </c>
      <c r="H196" s="7" t="s">
        <v>193</v>
      </c>
      <c r="I196" s="7" t="s">
        <v>194</v>
      </c>
      <c r="J196" s="7" t="n">
        <v>1</v>
      </c>
      <c r="K196" s="7" t="s">
        <v>227</v>
      </c>
      <c r="L196" s="7" t="s">
        <v>405</v>
      </c>
      <c r="M196" s="7"/>
    </row>
    <row r="197" customFormat="false" ht="23.85" hidden="false" customHeight="false" outlineLevel="0" collapsed="false">
      <c r="A197" s="7" t="s">
        <v>393</v>
      </c>
      <c r="B197" s="7" t="s">
        <v>168</v>
      </c>
      <c r="C197" s="7" t="s">
        <v>394</v>
      </c>
      <c r="D197" s="7" t="s">
        <v>83</v>
      </c>
      <c r="E197" s="7" t="s">
        <v>190</v>
      </c>
      <c r="F197" s="11" t="s">
        <v>229</v>
      </c>
      <c r="G197" s="7" t="s">
        <v>406</v>
      </c>
      <c r="H197" s="7" t="s">
        <v>193</v>
      </c>
      <c r="I197" s="7" t="s">
        <v>194</v>
      </c>
      <c r="J197" s="7" t="n">
        <v>1</v>
      </c>
      <c r="K197" s="7" t="s">
        <v>231</v>
      </c>
      <c r="L197" s="7" t="s">
        <v>407</v>
      </c>
      <c r="M197" s="7"/>
    </row>
    <row r="198" customFormat="false" ht="23.85" hidden="false" customHeight="false" outlineLevel="0" collapsed="false">
      <c r="A198" s="7" t="s">
        <v>393</v>
      </c>
      <c r="B198" s="7" t="s">
        <v>168</v>
      </c>
      <c r="C198" s="7" t="s">
        <v>394</v>
      </c>
      <c r="D198" s="7" t="s">
        <v>83</v>
      </c>
      <c r="E198" s="7" t="s">
        <v>190</v>
      </c>
      <c r="F198" s="7" t="s">
        <v>233</v>
      </c>
      <c r="G198" s="7" t="s">
        <v>116</v>
      </c>
      <c r="H198" s="7" t="s">
        <v>193</v>
      </c>
      <c r="I198" s="7" t="s">
        <v>194</v>
      </c>
      <c r="J198" s="7" t="n">
        <v>1</v>
      </c>
      <c r="K198" s="7" t="s">
        <v>231</v>
      </c>
      <c r="L198" s="7" t="s">
        <v>408</v>
      </c>
      <c r="M198" s="7"/>
    </row>
    <row r="199" customFormat="false" ht="32.8" hidden="false" customHeight="false" outlineLevel="0" collapsed="false">
      <c r="A199" s="12" t="s">
        <v>393</v>
      </c>
      <c r="B199" s="12" t="s">
        <v>168</v>
      </c>
      <c r="C199" s="12" t="s">
        <v>394</v>
      </c>
      <c r="D199" s="12" t="s">
        <v>83</v>
      </c>
      <c r="E199" s="12" t="s">
        <v>190</v>
      </c>
      <c r="F199" s="12" t="s">
        <v>235</v>
      </c>
      <c r="G199" s="12" t="s">
        <v>236</v>
      </c>
      <c r="H199" s="12" t="s">
        <v>237</v>
      </c>
      <c r="I199" s="12" t="s">
        <v>237</v>
      </c>
      <c r="J199" s="12"/>
      <c r="K199" s="12"/>
      <c r="L199" s="12"/>
      <c r="M199" s="1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04"/>
  </cols>
  <sheetData>
    <row r="1" customFormat="false" ht="30" hidden="false" customHeight="true" outlineLevel="0" collapsed="false">
      <c r="A1" s="6" t="s">
        <v>176</v>
      </c>
      <c r="B1" s="6" t="s">
        <v>26</v>
      </c>
      <c r="C1" s="6" t="s">
        <v>178</v>
      </c>
      <c r="D1" s="6" t="s">
        <v>177</v>
      </c>
      <c r="E1" s="6" t="s">
        <v>409</v>
      </c>
    </row>
    <row r="2" customFormat="false" ht="30" hidden="false" customHeight="true" outlineLevel="0" collapsed="false">
      <c r="A2" s="7" t="s">
        <v>188</v>
      </c>
      <c r="B2" s="7" t="s">
        <v>54</v>
      </c>
      <c r="C2" s="8" t="s">
        <v>65</v>
      </c>
      <c r="D2" s="7" t="s">
        <v>189</v>
      </c>
      <c r="E2" s="7" t="s">
        <v>410</v>
      </c>
    </row>
    <row r="3" customFormat="false" ht="30" hidden="false" customHeight="true" outlineLevel="0" collapsed="false">
      <c r="A3" s="7" t="s">
        <v>239</v>
      </c>
      <c r="B3" s="7" t="s">
        <v>54</v>
      </c>
      <c r="C3" s="8" t="s">
        <v>65</v>
      </c>
      <c r="D3" s="7" t="s">
        <v>240</v>
      </c>
      <c r="E3" s="7" t="s">
        <v>411</v>
      </c>
    </row>
    <row r="4" customFormat="false" ht="30" hidden="false" customHeight="true" outlineLevel="0" collapsed="false">
      <c r="A4" s="7" t="s">
        <v>239</v>
      </c>
      <c r="B4" s="7" t="s">
        <v>54</v>
      </c>
      <c r="C4" s="8" t="s">
        <v>65</v>
      </c>
      <c r="D4" s="7" t="s">
        <v>240</v>
      </c>
      <c r="E4" s="7" t="s">
        <v>412</v>
      </c>
    </row>
    <row r="5" customFormat="false" ht="30" hidden="false" customHeight="true" outlineLevel="0" collapsed="false">
      <c r="A5" s="7" t="s">
        <v>254</v>
      </c>
      <c r="B5" s="7" t="s">
        <v>77</v>
      </c>
      <c r="C5" s="9" t="s">
        <v>83</v>
      </c>
      <c r="D5" s="7" t="s">
        <v>255</v>
      </c>
      <c r="E5" s="7" t="s">
        <v>413</v>
      </c>
    </row>
    <row r="6" customFormat="false" ht="30" hidden="false" customHeight="true" outlineLevel="0" collapsed="false">
      <c r="A6" s="7" t="s">
        <v>272</v>
      </c>
      <c r="B6" s="7" t="s">
        <v>91</v>
      </c>
      <c r="C6" s="8" t="s">
        <v>65</v>
      </c>
      <c r="D6" s="7" t="s">
        <v>273</v>
      </c>
      <c r="E6" s="7" t="s">
        <v>414</v>
      </c>
    </row>
    <row r="7" customFormat="false" ht="30" hidden="false" customHeight="true" outlineLevel="0" collapsed="false">
      <c r="A7" s="7" t="s">
        <v>272</v>
      </c>
      <c r="B7" s="7" t="s">
        <v>91</v>
      </c>
      <c r="C7" s="8" t="s">
        <v>65</v>
      </c>
      <c r="D7" s="7" t="s">
        <v>273</v>
      </c>
      <c r="E7" s="7" t="s">
        <v>415</v>
      </c>
    </row>
    <row r="8" customFormat="false" ht="30" hidden="false" customHeight="true" outlineLevel="0" collapsed="false">
      <c r="A8" s="7" t="s">
        <v>272</v>
      </c>
      <c r="B8" s="7" t="s">
        <v>91</v>
      </c>
      <c r="C8" s="8" t="s">
        <v>65</v>
      </c>
      <c r="D8" s="7" t="s">
        <v>273</v>
      </c>
      <c r="E8" s="7" t="s">
        <v>416</v>
      </c>
    </row>
    <row r="9" customFormat="false" ht="30" hidden="false" customHeight="true" outlineLevel="0" collapsed="false">
      <c r="A9" s="7" t="s">
        <v>290</v>
      </c>
      <c r="B9" s="7" t="s">
        <v>107</v>
      </c>
      <c r="C9" s="10" t="s">
        <v>113</v>
      </c>
      <c r="D9" s="7" t="s">
        <v>291</v>
      </c>
      <c r="E9" s="7" t="s">
        <v>417</v>
      </c>
    </row>
    <row r="10" customFormat="false" ht="30" hidden="false" customHeight="true" outlineLevel="0" collapsed="false">
      <c r="A10" s="7" t="s">
        <v>290</v>
      </c>
      <c r="B10" s="7" t="s">
        <v>107</v>
      </c>
      <c r="C10" s="10" t="s">
        <v>113</v>
      </c>
      <c r="D10" s="7" t="s">
        <v>291</v>
      </c>
      <c r="E10" s="7" t="s">
        <v>418</v>
      </c>
    </row>
    <row r="11" customFormat="false" ht="30" hidden="false" customHeight="true" outlineLevel="0" collapsed="false">
      <c r="A11" s="7" t="s">
        <v>290</v>
      </c>
      <c r="B11" s="7" t="s">
        <v>107</v>
      </c>
      <c r="C11" s="10" t="s">
        <v>113</v>
      </c>
      <c r="D11" s="7" t="s">
        <v>291</v>
      </c>
      <c r="E11" s="7" t="s">
        <v>419</v>
      </c>
    </row>
    <row r="12" customFormat="false" ht="30" hidden="false" customHeight="true" outlineLevel="0" collapsed="false">
      <c r="A12" s="7" t="s">
        <v>310</v>
      </c>
      <c r="B12" s="7" t="s">
        <v>119</v>
      </c>
      <c r="C12" s="8" t="s">
        <v>65</v>
      </c>
      <c r="D12" s="7" t="s">
        <v>311</v>
      </c>
      <c r="E12" s="7" t="s">
        <v>420</v>
      </c>
    </row>
    <row r="13" customFormat="false" ht="30" hidden="false" customHeight="true" outlineLevel="0" collapsed="false">
      <c r="A13" s="7" t="s">
        <v>310</v>
      </c>
      <c r="B13" s="7" t="s">
        <v>119</v>
      </c>
      <c r="C13" s="8" t="s">
        <v>65</v>
      </c>
      <c r="D13" s="7" t="s">
        <v>311</v>
      </c>
      <c r="E13" s="7" t="s">
        <v>421</v>
      </c>
    </row>
    <row r="14" customFormat="false" ht="30" hidden="false" customHeight="true" outlineLevel="0" collapsed="false">
      <c r="A14" s="7" t="s">
        <v>310</v>
      </c>
      <c r="B14" s="7" t="s">
        <v>119</v>
      </c>
      <c r="C14" s="8" t="s">
        <v>65</v>
      </c>
      <c r="D14" s="7" t="s">
        <v>311</v>
      </c>
      <c r="E14" s="7" t="s">
        <v>422</v>
      </c>
    </row>
    <row r="15" customFormat="false" ht="30" hidden="false" customHeight="true" outlineLevel="0" collapsed="false">
      <c r="A15" s="7" t="s">
        <v>327</v>
      </c>
      <c r="B15" s="7" t="s">
        <v>132</v>
      </c>
      <c r="C15" s="10" t="s">
        <v>113</v>
      </c>
      <c r="D15" s="7" t="s">
        <v>328</v>
      </c>
      <c r="E15" s="7" t="s">
        <v>423</v>
      </c>
    </row>
    <row r="16" customFormat="false" ht="30" hidden="false" customHeight="true" outlineLevel="0" collapsed="false">
      <c r="A16" s="7" t="s">
        <v>327</v>
      </c>
      <c r="B16" s="7" t="s">
        <v>132</v>
      </c>
      <c r="C16" s="10" t="s">
        <v>113</v>
      </c>
      <c r="D16" s="7" t="s">
        <v>328</v>
      </c>
      <c r="E16" s="7" t="s">
        <v>424</v>
      </c>
    </row>
    <row r="17" customFormat="false" ht="30" hidden="false" customHeight="true" outlineLevel="0" collapsed="false">
      <c r="A17" s="7" t="s">
        <v>327</v>
      </c>
      <c r="B17" s="7" t="s">
        <v>132</v>
      </c>
      <c r="C17" s="10" t="s">
        <v>113</v>
      </c>
      <c r="D17" s="7" t="s">
        <v>328</v>
      </c>
      <c r="E17" s="7" t="s">
        <v>425</v>
      </c>
    </row>
    <row r="18" customFormat="false" ht="30" hidden="false" customHeight="true" outlineLevel="0" collapsed="false">
      <c r="A18" s="7" t="s">
        <v>327</v>
      </c>
      <c r="B18" s="7" t="s">
        <v>132</v>
      </c>
      <c r="C18" s="10" t="s">
        <v>113</v>
      </c>
      <c r="D18" s="7" t="s">
        <v>328</v>
      </c>
      <c r="E18" s="7" t="s">
        <v>426</v>
      </c>
    </row>
    <row r="19" customFormat="false" ht="30" hidden="false" customHeight="true" outlineLevel="0" collapsed="false">
      <c r="A19" s="7" t="s">
        <v>345</v>
      </c>
      <c r="B19" s="7" t="s">
        <v>139</v>
      </c>
      <c r="C19" s="9" t="s">
        <v>83</v>
      </c>
      <c r="D19" s="7" t="s">
        <v>346</v>
      </c>
      <c r="E19" s="7" t="s">
        <v>427</v>
      </c>
    </row>
    <row r="20" customFormat="false" ht="30" hidden="false" customHeight="true" outlineLevel="0" collapsed="false">
      <c r="A20" s="7" t="s">
        <v>359</v>
      </c>
      <c r="B20" s="7" t="s">
        <v>149</v>
      </c>
      <c r="C20" s="10" t="s">
        <v>113</v>
      </c>
      <c r="D20" s="7" t="s">
        <v>360</v>
      </c>
      <c r="E20" s="7" t="s">
        <v>428</v>
      </c>
    </row>
    <row r="21" customFormat="false" ht="30" hidden="false" customHeight="true" outlineLevel="0" collapsed="false">
      <c r="A21" s="7" t="s">
        <v>359</v>
      </c>
      <c r="B21" s="7" t="s">
        <v>149</v>
      </c>
      <c r="C21" s="10" t="s">
        <v>113</v>
      </c>
      <c r="D21" s="7" t="s">
        <v>360</v>
      </c>
      <c r="E21" s="7" t="s">
        <v>429</v>
      </c>
    </row>
    <row r="22" customFormat="false" ht="30" hidden="false" customHeight="true" outlineLevel="0" collapsed="false">
      <c r="A22" s="7" t="s">
        <v>359</v>
      </c>
      <c r="B22" s="7" t="s">
        <v>149</v>
      </c>
      <c r="C22" s="10" t="s">
        <v>113</v>
      </c>
      <c r="D22" s="7" t="s">
        <v>360</v>
      </c>
      <c r="E22" s="7" t="s">
        <v>430</v>
      </c>
    </row>
    <row r="23" customFormat="false" ht="30" hidden="false" customHeight="true" outlineLevel="0" collapsed="false">
      <c r="A23" s="7" t="s">
        <v>359</v>
      </c>
      <c r="B23" s="7" t="s">
        <v>149</v>
      </c>
      <c r="C23" s="10" t="s">
        <v>113</v>
      </c>
      <c r="D23" s="7" t="s">
        <v>360</v>
      </c>
      <c r="E23" s="7" t="s">
        <v>431</v>
      </c>
    </row>
    <row r="24" customFormat="false" ht="30" hidden="false" customHeight="true" outlineLevel="0" collapsed="false">
      <c r="A24" s="7" t="s">
        <v>378</v>
      </c>
      <c r="B24" s="7" t="s">
        <v>158</v>
      </c>
      <c r="C24" s="10" t="s">
        <v>113</v>
      </c>
      <c r="D24" s="7" t="s">
        <v>379</v>
      </c>
      <c r="E24" s="7" t="s">
        <v>432</v>
      </c>
    </row>
    <row r="25" customFormat="false" ht="30" hidden="false" customHeight="true" outlineLevel="0" collapsed="false">
      <c r="A25" s="7" t="s">
        <v>378</v>
      </c>
      <c r="B25" s="7" t="s">
        <v>158</v>
      </c>
      <c r="C25" s="10" t="s">
        <v>113</v>
      </c>
      <c r="D25" s="7" t="s">
        <v>379</v>
      </c>
      <c r="E25" s="7" t="s">
        <v>433</v>
      </c>
    </row>
    <row r="26" customFormat="false" ht="30" hidden="false" customHeight="true" outlineLevel="0" collapsed="false">
      <c r="A26" s="7" t="s">
        <v>378</v>
      </c>
      <c r="B26" s="7" t="s">
        <v>158</v>
      </c>
      <c r="C26" s="10" t="s">
        <v>113</v>
      </c>
      <c r="D26" s="7" t="s">
        <v>379</v>
      </c>
      <c r="E26" s="7" t="s">
        <v>434</v>
      </c>
    </row>
    <row r="27" customFormat="false" ht="30" hidden="false" customHeight="true" outlineLevel="0" collapsed="false">
      <c r="A27" s="7" t="s">
        <v>393</v>
      </c>
      <c r="B27" s="7" t="s">
        <v>168</v>
      </c>
      <c r="C27" s="9" t="s">
        <v>83</v>
      </c>
      <c r="D27" s="7" t="s">
        <v>394</v>
      </c>
      <c r="E27" s="7" t="s">
        <v>435</v>
      </c>
    </row>
    <row r="28" customFormat="false" ht="30" hidden="false" customHeight="true" outlineLevel="0" collapsed="false">
      <c r="A28" s="7" t="s">
        <v>393</v>
      </c>
      <c r="B28" s="7" t="s">
        <v>168</v>
      </c>
      <c r="C28" s="9" t="s">
        <v>83</v>
      </c>
      <c r="D28" s="7" t="s">
        <v>394</v>
      </c>
      <c r="E28" s="7" t="s">
        <v>436</v>
      </c>
    </row>
    <row r="29" customFormat="false" ht="30" hidden="false" customHeight="true" outlineLevel="0" collapsed="false">
      <c r="A29" s="7" t="s">
        <v>393</v>
      </c>
      <c r="B29" s="7" t="s">
        <v>168</v>
      </c>
      <c r="C29" s="9" t="s">
        <v>83</v>
      </c>
      <c r="D29" s="7" t="s">
        <v>394</v>
      </c>
      <c r="E29" s="7" t="s">
        <v>437</v>
      </c>
    </row>
    <row r="31" customFormat="false" ht="15" hidden="false" customHeight="false" outlineLevel="0" collapsed="false">
      <c r="A31" s="2" t="s">
        <v>438</v>
      </c>
    </row>
    <row r="32" customFormat="false" ht="15" hidden="false" customHeight="false" outlineLevel="0" collapsed="false">
      <c r="A32" s="7" t="s">
        <v>107</v>
      </c>
      <c r="B32" s="7"/>
      <c r="C32" s="7" t="s">
        <v>113</v>
      </c>
      <c r="D32" s="7" t="s">
        <v>109</v>
      </c>
      <c r="E32" s="7" t="s">
        <v>439</v>
      </c>
    </row>
    <row r="33" customFormat="false" ht="15" hidden="false" customHeight="false" outlineLevel="0" collapsed="false">
      <c r="A33" s="7" t="s">
        <v>107</v>
      </c>
      <c r="B33" s="7"/>
      <c r="C33" s="7" t="s">
        <v>113</v>
      </c>
      <c r="D33" s="7" t="s">
        <v>109</v>
      </c>
      <c r="E33" s="7" t="s">
        <v>440</v>
      </c>
    </row>
    <row r="34" customFormat="false" ht="15" hidden="false" customHeight="false" outlineLevel="0" collapsed="false">
      <c r="A34" s="7" t="s">
        <v>149</v>
      </c>
      <c r="B34" s="7"/>
      <c r="C34" s="7" t="s">
        <v>113</v>
      </c>
      <c r="D34" s="7" t="s">
        <v>151</v>
      </c>
      <c r="E34" s="7" t="s">
        <v>441</v>
      </c>
    </row>
    <row r="35" customFormat="false" ht="15" hidden="false" customHeight="false" outlineLevel="0" collapsed="false">
      <c r="A35" s="7" t="s">
        <v>149</v>
      </c>
      <c r="B35" s="7"/>
      <c r="C35" s="7" t="s">
        <v>113</v>
      </c>
      <c r="D35" s="7" t="s">
        <v>151</v>
      </c>
      <c r="E35" s="7" t="s">
        <v>442</v>
      </c>
    </row>
    <row r="36" customFormat="false" ht="15" hidden="false" customHeight="false" outlineLevel="0" collapsed="false">
      <c r="A36" s="7" t="s">
        <v>149</v>
      </c>
      <c r="B36" s="7"/>
      <c r="C36" s="7" t="s">
        <v>113</v>
      </c>
      <c r="D36" s="7" t="s">
        <v>151</v>
      </c>
      <c r="E36" s="7" t="s">
        <v>443</v>
      </c>
    </row>
    <row r="37" customFormat="false" ht="15" hidden="false" customHeight="false" outlineLevel="0" collapsed="false">
      <c r="A37" s="7" t="s">
        <v>168</v>
      </c>
      <c r="B37" s="7"/>
      <c r="C37" s="7" t="s">
        <v>83</v>
      </c>
      <c r="D37" s="7" t="s">
        <v>170</v>
      </c>
      <c r="E37" s="7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445</v>
      </c>
    </row>
    <row r="3" customFormat="false" ht="13.5" hidden="false" customHeight="true" outlineLevel="0" collapsed="false">
      <c r="A3" s="2" t="s">
        <v>446</v>
      </c>
      <c r="B3" s="3" t="s">
        <v>447</v>
      </c>
    </row>
    <row r="4" customFormat="false" ht="27.75" hidden="false" customHeight="true" outlineLevel="0" collapsed="false">
      <c r="A4" s="4" t="s">
        <v>448</v>
      </c>
      <c r="B4" s="3" t="s">
        <v>449</v>
      </c>
    </row>
    <row r="5" customFormat="false" ht="42" hidden="false" customHeight="true" outlineLevel="0" collapsed="false">
      <c r="A5" s="4" t="s">
        <v>450</v>
      </c>
      <c r="B5" s="3" t="s">
        <v>451</v>
      </c>
    </row>
    <row r="6" customFormat="false" ht="27.75" hidden="false" customHeight="true" outlineLevel="0" collapsed="false">
      <c r="A6" s="4" t="s">
        <v>452</v>
      </c>
      <c r="B6" s="3" t="s">
        <v>453</v>
      </c>
    </row>
    <row r="7" customFormat="false" ht="13.5" hidden="false" customHeight="true" outlineLevel="0" collapsed="false">
      <c r="B7" s="3"/>
    </row>
    <row r="8" customFormat="false" ht="13.5" hidden="false" customHeight="true" outlineLevel="0" collapsed="false">
      <c r="A8" s="2" t="s">
        <v>454</v>
      </c>
      <c r="B8" s="3" t="s">
        <v>455</v>
      </c>
    </row>
    <row r="9" customFormat="false" ht="42" hidden="false" customHeight="true" outlineLevel="0" collapsed="false">
      <c r="A9" s="4" t="s">
        <v>448</v>
      </c>
      <c r="B9" s="3" t="s">
        <v>456</v>
      </c>
    </row>
    <row r="10" customFormat="false" ht="55.5" hidden="false" customHeight="true" outlineLevel="0" collapsed="false">
      <c r="A10" s="4" t="s">
        <v>450</v>
      </c>
      <c r="B10" s="3" t="s">
        <v>457</v>
      </c>
    </row>
    <row r="11" customFormat="false" ht="27.75" hidden="false" customHeight="true" outlineLevel="0" collapsed="false">
      <c r="A11" s="4" t="s">
        <v>452</v>
      </c>
      <c r="B11" s="3" t="s">
        <v>458</v>
      </c>
    </row>
    <row r="12" customFormat="false" ht="13.5" hidden="false" customHeight="true" outlineLevel="0" collapsed="false">
      <c r="B12" s="3"/>
    </row>
    <row r="13" customFormat="false" ht="13.5" hidden="false" customHeight="true" outlineLevel="0" collapsed="false">
      <c r="A13" s="2" t="s">
        <v>459</v>
      </c>
      <c r="B13" s="3" t="s">
        <v>460</v>
      </c>
    </row>
    <row r="14" customFormat="false" ht="27.75" hidden="false" customHeight="true" outlineLevel="0" collapsed="false">
      <c r="A14" s="4" t="s">
        <v>448</v>
      </c>
      <c r="B14" s="3" t="s">
        <v>461</v>
      </c>
    </row>
    <row r="15" customFormat="false" ht="27.75" hidden="false" customHeight="true" outlineLevel="0" collapsed="false">
      <c r="A15" s="4" t="s">
        <v>450</v>
      </c>
      <c r="B15" s="3" t="s">
        <v>462</v>
      </c>
    </row>
    <row r="16" customFormat="false" ht="27.75" hidden="false" customHeight="true" outlineLevel="0" collapsed="false">
      <c r="A16" s="4" t="s">
        <v>452</v>
      </c>
      <c r="B16" s="3" t="s">
        <v>463</v>
      </c>
    </row>
    <row r="17" customFormat="false" ht="13.5" hidden="false" customHeight="true" outlineLevel="0" collapsed="false">
      <c r="B17" s="3"/>
    </row>
    <row r="18" customFormat="false" ht="42" hidden="false" customHeight="true" outlineLevel="0" collapsed="false">
      <c r="A18" s="4" t="s">
        <v>464</v>
      </c>
      <c r="B18" s="3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2026-08-28T07:19:36Z</dcterms:created>
  <dc:creator>openpyxl</dc:creator>
  <dc:description/>
  <dc:language>en-US</dc:language>
  <cp:lastModifiedBy/>
  <dcterms:modified xsi:type="dcterms:W3CDTF">2026-08-28T07:19:36Z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